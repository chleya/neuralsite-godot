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890" windowHeight="6195" tabRatio="792" activeTab="3"/>
  </bookViews>
  <sheets>
    <sheet name="涵洞" sheetId="1" r:id="rId1"/>
    <sheet name="419-1-2 Φ0.8" sheetId="2" r:id="rId2"/>
    <sheet name="420-1-b    1-3×2" sheetId="4" r:id="rId3"/>
    <sheet name="420-1-f    1-4×3.5" sheetId="6" r:id="rId4"/>
  </sheets>
  <calcPr calcId="144525" concurrentCalc="0"/>
</workbook>
</file>

<file path=xl/sharedStrings.xml><?xml version="1.0" encoding="utf-8"?>
<sst xmlns="http://schemas.openxmlformats.org/spreadsheetml/2006/main" count="88" uniqueCount="53">
  <si>
    <t>涵洞工程量复核对照表</t>
  </si>
  <si>
    <t xml:space="preserve"> 清单    第400章   涵洞工程</t>
  </si>
  <si>
    <t>子目号</t>
  </si>
  <si>
    <t>子  目  名  称</t>
  </si>
  <si>
    <t>单位</t>
  </si>
  <si>
    <t>单价</t>
  </si>
  <si>
    <t>清单数量</t>
  </si>
  <si>
    <t>图纸数量</t>
  </si>
  <si>
    <t>核算数量</t>
  </si>
  <si>
    <t>数量差
（与清单比）</t>
  </si>
  <si>
    <t>金额差
（与清单比）</t>
  </si>
  <si>
    <t>419-1</t>
  </si>
  <si>
    <t>单孔钢筋混凝土圆管涵</t>
  </si>
  <si>
    <t/>
  </si>
  <si>
    <t>419-1-2</t>
  </si>
  <si>
    <t>Φ0.8</t>
  </si>
  <si>
    <t>m</t>
  </si>
  <si>
    <t>420-1</t>
  </si>
  <si>
    <t>钢筋混凝土盖板涵</t>
  </si>
  <si>
    <t>-b</t>
  </si>
  <si>
    <t>1-3×2</t>
  </si>
  <si>
    <t>-h</t>
  </si>
  <si>
    <t>1-4×3.5</t>
  </si>
  <si>
    <t>合计</t>
  </si>
  <si>
    <t xml:space="preserve">   业主：                 监理：                 复核：                 制表：</t>
  </si>
  <si>
    <t>419-1-2 Φ0.8</t>
  </si>
  <si>
    <t>序号</t>
  </si>
  <si>
    <t>段落</t>
  </si>
  <si>
    <t>位置</t>
  </si>
  <si>
    <r>
      <rPr>
        <b/>
        <sz val="10"/>
        <color rgb="FF000000"/>
        <rFont val="宋体"/>
        <charset val="134"/>
      </rPr>
      <t>核算数量（m</t>
    </r>
    <r>
      <rPr>
        <b/>
        <sz val="10"/>
        <color rgb="FF000000"/>
        <rFont val="宋体"/>
        <charset val="134"/>
      </rPr>
      <t>）</t>
    </r>
  </si>
  <si>
    <r>
      <rPr>
        <b/>
        <sz val="10"/>
        <color rgb="FF000000"/>
        <rFont val="宋体"/>
        <charset val="134"/>
      </rPr>
      <t>图纸数量（m</t>
    </r>
    <r>
      <rPr>
        <b/>
        <sz val="10"/>
        <color rgb="FF000000"/>
        <rFont val="宋体"/>
        <charset val="134"/>
      </rPr>
      <t>)</t>
    </r>
  </si>
  <si>
    <t>备注</t>
  </si>
  <si>
    <t>GLK0+081</t>
  </si>
  <si>
    <t>左、右</t>
  </si>
  <si>
    <t>第七册第四分册S9-15</t>
  </si>
  <si>
    <t>GLK0+210</t>
  </si>
  <si>
    <t>GLK0+362</t>
  </si>
  <si>
    <t>GLK0+456</t>
  </si>
  <si>
    <t>GLK0+024</t>
  </si>
  <si>
    <t>GLK0+077</t>
  </si>
  <si>
    <t>GLK0+191</t>
  </si>
  <si>
    <t>GLK0+268</t>
  </si>
  <si>
    <t>合计:</t>
  </si>
  <si>
    <t xml:space="preserve">    计算：                复核：                监理:                    日期:</t>
  </si>
  <si>
    <t>420-1-b    1-3×2</t>
  </si>
  <si>
    <t>K6+488</t>
  </si>
  <si>
    <t>两侧</t>
  </si>
  <si>
    <t>第三册S4-HD-1</t>
  </si>
  <si>
    <t>K6+885右侧改路K0+060</t>
  </si>
  <si>
    <t>第七册S9-14</t>
  </si>
  <si>
    <t>420-1-f    1-4×3.5</t>
  </si>
  <si>
    <t>K6+413.1</t>
  </si>
  <si>
    <t>第三册S4-HD-4</t>
  </si>
</sst>
</file>

<file path=xl/styles.xml><?xml version="1.0" encoding="utf-8"?>
<styleSheet xmlns="http://schemas.openxmlformats.org/spreadsheetml/2006/main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#0"/>
    <numFmt numFmtId="178" formatCode="0.0_);[Red]\(0.0\)"/>
    <numFmt numFmtId="179" formatCode="#0.00"/>
    <numFmt numFmtId="180" formatCode="0_ "/>
  </numFmts>
  <fonts count="38">
    <font>
      <sz val="11"/>
      <color theme="1"/>
      <name val="宋体"/>
      <charset val="134"/>
      <scheme val="minor"/>
    </font>
    <font>
      <b/>
      <sz val="16"/>
      <color indexed="8"/>
      <name val="宋体"/>
      <charset val="134"/>
    </font>
    <font>
      <b/>
      <sz val="10"/>
      <color indexed="8"/>
      <name val="宋体"/>
      <charset val="134"/>
    </font>
    <font>
      <b/>
      <sz val="10"/>
      <color rgb="FF000000"/>
      <name val="宋体"/>
      <charset val="134"/>
    </font>
    <font>
      <sz val="9"/>
      <color indexed="8"/>
      <name val="宋体"/>
      <charset val="134"/>
    </font>
    <font>
      <sz val="9"/>
      <color theme="1"/>
      <name val="宋体"/>
      <charset val="134"/>
      <scheme val="minor"/>
    </font>
    <font>
      <sz val="9"/>
      <name val="宋体"/>
      <charset val="134"/>
      <scheme val="minor"/>
    </font>
    <font>
      <sz val="9"/>
      <name val="宋体"/>
      <charset val="134"/>
    </font>
    <font>
      <sz val="10"/>
      <name val="宋体"/>
      <charset val="134"/>
    </font>
    <font>
      <sz val="11"/>
      <name val="宋体"/>
      <charset val="134"/>
    </font>
    <font>
      <b/>
      <sz val="16"/>
      <name val="宋体"/>
      <charset val="134"/>
    </font>
    <font>
      <b/>
      <sz val="10"/>
      <name val="宋体"/>
      <charset val="134"/>
    </font>
    <font>
      <sz val="9"/>
      <color indexed="8"/>
      <name val="宋体"/>
      <charset val="134"/>
      <scheme val="minor"/>
    </font>
    <font>
      <sz val="8"/>
      <color indexed="8"/>
      <name val="宋体"/>
      <charset val="134"/>
    </font>
    <font>
      <sz val="9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0"/>
      <name val="Arial"/>
      <charset val="134"/>
    </font>
    <font>
      <sz val="12"/>
      <name val="宋体"/>
      <charset val="134"/>
    </font>
    <font>
      <sz val="11"/>
      <color theme="1"/>
      <name val="Tahoma"/>
      <charset val="134"/>
    </font>
    <font>
      <sz val="10"/>
      <name val="Helv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7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6" fillId="4" borderId="1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8" borderId="13" applyNumberFormat="0" applyFont="0" applyAlignment="0" applyProtection="0">
      <alignment vertical="center"/>
    </xf>
    <xf numFmtId="0" fontId="0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0" fillId="0" borderId="0">
      <alignment vertical="center"/>
    </xf>
    <xf numFmtId="0" fontId="21" fillId="0" borderId="15" applyNumberFormat="0" applyFill="0" applyAlignment="0" applyProtection="0">
      <alignment vertical="center"/>
    </xf>
    <xf numFmtId="0" fontId="0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27" fillId="12" borderId="16" applyNumberFormat="0" applyAlignment="0" applyProtection="0">
      <alignment vertical="center"/>
    </xf>
    <xf numFmtId="0" fontId="28" fillId="12" borderId="12" applyNumberFormat="0" applyAlignment="0" applyProtection="0">
      <alignment vertical="center"/>
    </xf>
    <xf numFmtId="0" fontId="29" fillId="13" borderId="17" applyNumberFormat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30" fillId="0" borderId="18" applyNumberFormat="0" applyFill="0" applyAlignment="0" applyProtection="0">
      <alignment vertical="center"/>
    </xf>
    <xf numFmtId="0" fontId="31" fillId="0" borderId="19" applyNumberFormat="0" applyFill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34" fillId="0" borderId="0"/>
    <xf numFmtId="0" fontId="18" fillId="25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35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34" fillId="0" borderId="0"/>
    <xf numFmtId="0" fontId="15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35" fillId="0" borderId="0">
      <alignment vertical="center"/>
    </xf>
    <xf numFmtId="0" fontId="18" fillId="31" borderId="0" applyNumberFormat="0" applyBorder="0" applyAlignment="0" applyProtection="0">
      <alignment vertical="center"/>
    </xf>
    <xf numFmtId="0" fontId="0" fillId="0" borderId="0">
      <alignment vertical="center"/>
    </xf>
    <xf numFmtId="0" fontId="15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36" fillId="0" borderId="0"/>
    <xf numFmtId="0" fontId="34" fillId="0" borderId="0"/>
    <xf numFmtId="0" fontId="35" fillId="0" borderId="0">
      <alignment vertical="center"/>
    </xf>
    <xf numFmtId="0" fontId="35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6" fillId="0" borderId="0"/>
    <xf numFmtId="0" fontId="0" fillId="0" borderId="0">
      <alignment vertical="center"/>
    </xf>
    <xf numFmtId="0" fontId="37" fillId="0" borderId="0"/>
    <xf numFmtId="0" fontId="37" fillId="0" borderId="0"/>
    <xf numFmtId="0" fontId="34" fillId="0" borderId="0"/>
    <xf numFmtId="0" fontId="0" fillId="0" borderId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5" fillId="0" borderId="0" xfId="20" applyFont="1" applyAlignment="1">
      <alignment horizontal="center" vertical="center"/>
    </xf>
    <xf numFmtId="0" fontId="5" fillId="0" borderId="2" xfId="20" applyFont="1" applyBorder="1" applyAlignment="1">
      <alignment horizontal="center" vertical="center"/>
    </xf>
    <xf numFmtId="0" fontId="5" fillId="0" borderId="2" xfId="20" applyFont="1" applyBorder="1" applyAlignment="1">
      <alignment horizontal="center" vertical="center" wrapText="1"/>
    </xf>
    <xf numFmtId="0" fontId="0" fillId="0" borderId="2" xfId="20" applyBorder="1">
      <alignment vertical="center"/>
    </xf>
    <xf numFmtId="0" fontId="0" fillId="0" borderId="2" xfId="20" applyBorder="1" applyAlignment="1">
      <alignment horizontal="center" vertical="center"/>
    </xf>
    <xf numFmtId="0" fontId="0" fillId="0" borderId="2" xfId="20" applyFont="1" applyBorder="1" applyAlignment="1">
      <alignment horizontal="center" vertical="center"/>
    </xf>
    <xf numFmtId="0" fontId="0" fillId="0" borderId="2" xfId="20" applyFont="1" applyBorder="1" applyAlignment="1">
      <alignment horizontal="center" vertical="center" wrapText="1"/>
    </xf>
    <xf numFmtId="0" fontId="6" fillId="0" borderId="2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7" fillId="0" borderId="2" xfId="0" applyFont="1" applyFill="1" applyBorder="1" applyAlignment="1">
      <alignment horizontal="center" vertical="center"/>
    </xf>
    <xf numFmtId="176" fontId="4" fillId="0" borderId="4" xfId="0" applyNumberFormat="1" applyFont="1" applyFill="1" applyBorder="1" applyAlignment="1">
      <alignment horizontal="center" vertical="center"/>
    </xf>
    <xf numFmtId="176" fontId="4" fillId="0" borderId="2" xfId="0" applyNumberFormat="1" applyFont="1" applyFill="1" applyBorder="1" applyAlignment="1">
      <alignment horizontal="center" vertical="center"/>
    </xf>
    <xf numFmtId="0" fontId="8" fillId="0" borderId="0" xfId="73" applyFont="1" applyFill="1" applyAlignment="1">
      <alignment horizontal="center" vertical="center"/>
    </xf>
    <xf numFmtId="0" fontId="7" fillId="0" borderId="0" xfId="73" applyFont="1" applyFill="1" applyAlignment="1">
      <alignment horizontal="center" vertical="center"/>
    </xf>
    <xf numFmtId="49" fontId="9" fillId="0" borderId="0" xfId="73" applyNumberFormat="1" applyFont="1" applyFill="1" applyAlignment="1">
      <alignment horizontal="center" vertical="center"/>
    </xf>
    <xf numFmtId="0" fontId="9" fillId="0" borderId="0" xfId="73" applyFont="1" applyFill="1" applyAlignment="1">
      <alignment horizontal="left" vertical="center"/>
    </xf>
    <xf numFmtId="0" fontId="9" fillId="0" borderId="0" xfId="73" applyFont="1" applyFill="1" applyAlignment="1">
      <alignment horizontal="center" vertical="center"/>
    </xf>
    <xf numFmtId="0" fontId="9" fillId="0" borderId="0" xfId="73" applyNumberFormat="1" applyFont="1" applyFill="1" applyAlignment="1">
      <alignment horizontal="center" vertical="center"/>
    </xf>
    <xf numFmtId="0" fontId="10" fillId="0" borderId="0" xfId="73" applyFont="1" applyFill="1" applyAlignment="1">
      <alignment horizontal="center" vertical="center" wrapText="1"/>
    </xf>
    <xf numFmtId="49" fontId="11" fillId="0" borderId="5" xfId="73" applyNumberFormat="1" applyFont="1" applyFill="1" applyBorder="1" applyAlignment="1">
      <alignment horizontal="left" vertical="center"/>
    </xf>
    <xf numFmtId="49" fontId="11" fillId="0" borderId="6" xfId="73" applyNumberFormat="1" applyFont="1" applyFill="1" applyBorder="1" applyAlignment="1">
      <alignment horizontal="left" vertical="center"/>
    </xf>
    <xf numFmtId="49" fontId="7" fillId="0" borderId="2" xfId="73" applyNumberFormat="1" applyFont="1" applyFill="1" applyBorder="1" applyAlignment="1">
      <alignment horizontal="center" vertical="center"/>
    </xf>
    <xf numFmtId="0" fontId="7" fillId="0" borderId="2" xfId="73" applyFont="1" applyFill="1" applyBorder="1" applyAlignment="1">
      <alignment horizontal="center" vertical="center"/>
    </xf>
    <xf numFmtId="0" fontId="7" fillId="0" borderId="2" xfId="73" applyNumberFormat="1" applyFont="1" applyFill="1" applyBorder="1" applyAlignment="1">
      <alignment horizontal="center" vertical="center"/>
    </xf>
    <xf numFmtId="0" fontId="7" fillId="0" borderId="2" xfId="73" applyNumberFormat="1" applyFont="1" applyFill="1" applyBorder="1" applyAlignment="1">
      <alignment horizontal="center" vertical="center" wrapText="1"/>
    </xf>
    <xf numFmtId="49" fontId="12" fillId="0" borderId="7" xfId="0" applyNumberFormat="1" applyFont="1" applyFill="1" applyBorder="1" applyAlignment="1" applyProtection="1">
      <alignment horizontal="center" vertical="center" wrapText="1"/>
    </xf>
    <xf numFmtId="0" fontId="12" fillId="0" borderId="8" xfId="0" applyFont="1" applyFill="1" applyBorder="1" applyAlignment="1" applyProtection="1">
      <alignment horizontal="center" vertical="center" wrapText="1"/>
    </xf>
    <xf numFmtId="178" fontId="12" fillId="0" borderId="8" xfId="0" applyNumberFormat="1" applyFont="1" applyFill="1" applyBorder="1" applyAlignment="1" applyProtection="1">
      <alignment horizontal="center" vertical="center" wrapText="1"/>
    </xf>
    <xf numFmtId="179" fontId="12" fillId="0" borderId="9" xfId="0" applyNumberFormat="1" applyFont="1" applyFill="1" applyBorder="1" applyAlignment="1" applyProtection="1">
      <alignment horizontal="center" vertical="center" wrapText="1"/>
    </xf>
    <xf numFmtId="177" fontId="12" fillId="0" borderId="2" xfId="0" applyNumberFormat="1" applyFont="1" applyFill="1" applyBorder="1" applyAlignment="1" applyProtection="1">
      <alignment horizontal="center" vertical="center" wrapText="1"/>
    </xf>
    <xf numFmtId="0" fontId="6" fillId="0" borderId="2" xfId="73" applyNumberFormat="1" applyFont="1" applyFill="1" applyBorder="1" applyAlignment="1">
      <alignment horizontal="center" vertical="center"/>
    </xf>
    <xf numFmtId="0" fontId="13" fillId="2" borderId="2" xfId="75" applyFont="1" applyFill="1" applyBorder="1" applyAlignment="1">
      <alignment horizontal="center" vertical="center" wrapText="1"/>
    </xf>
    <xf numFmtId="179" fontId="12" fillId="0" borderId="8" xfId="0" applyNumberFormat="1" applyFont="1" applyFill="1" applyBorder="1" applyAlignment="1" applyProtection="1">
      <alignment horizontal="center" vertical="center" wrapText="1"/>
    </xf>
    <xf numFmtId="178" fontId="12" fillId="0" borderId="9" xfId="0" applyNumberFormat="1" applyFont="1" applyFill="1" applyBorder="1" applyAlignment="1" applyProtection="1">
      <alignment horizontal="center" vertical="center" wrapText="1"/>
    </xf>
    <xf numFmtId="178" fontId="12" fillId="0" borderId="2" xfId="0" applyNumberFormat="1" applyFont="1" applyFill="1" applyBorder="1" applyAlignment="1" applyProtection="1">
      <alignment horizontal="center" vertical="center" wrapText="1"/>
    </xf>
    <xf numFmtId="0" fontId="5" fillId="0" borderId="2" xfId="60" applyFont="1" applyFill="1" applyBorder="1" applyAlignment="1">
      <alignment horizontal="center" vertical="center"/>
    </xf>
    <xf numFmtId="178" fontId="6" fillId="0" borderId="2" xfId="73" applyNumberFormat="1" applyFont="1" applyFill="1" applyBorder="1" applyAlignment="1">
      <alignment horizontal="center" vertical="center"/>
    </xf>
    <xf numFmtId="49" fontId="14" fillId="0" borderId="7" xfId="0" applyNumberFormat="1" applyFont="1" applyFill="1" applyBorder="1" applyAlignment="1" applyProtection="1">
      <alignment horizontal="center" vertical="center" wrapText="1"/>
    </xf>
    <xf numFmtId="0" fontId="14" fillId="0" borderId="8" xfId="0" applyFont="1" applyFill="1" applyBorder="1" applyAlignment="1" applyProtection="1">
      <alignment horizontal="center" vertical="center" wrapText="1"/>
    </xf>
    <xf numFmtId="179" fontId="14" fillId="0" borderId="8" xfId="0" applyNumberFormat="1" applyFont="1" applyFill="1" applyBorder="1" applyAlignment="1" applyProtection="1">
      <alignment horizontal="center" vertical="center" wrapText="1"/>
    </xf>
    <xf numFmtId="178" fontId="14" fillId="0" borderId="9" xfId="0" applyNumberFormat="1" applyFont="1" applyFill="1" applyBorder="1" applyAlignment="1" applyProtection="1">
      <alignment horizontal="center" vertical="center" wrapText="1"/>
    </xf>
    <xf numFmtId="178" fontId="14" fillId="0" borderId="2" xfId="0" applyNumberFormat="1" applyFont="1" applyFill="1" applyBorder="1" applyAlignment="1" applyProtection="1">
      <alignment horizontal="center" vertical="center" wrapText="1"/>
    </xf>
    <xf numFmtId="178" fontId="14" fillId="0" borderId="2" xfId="60" applyNumberFormat="1" applyFont="1" applyFill="1" applyBorder="1" applyAlignment="1" applyProtection="1">
      <alignment horizontal="center" vertical="center" wrapText="1"/>
    </xf>
    <xf numFmtId="178" fontId="14" fillId="0" borderId="2" xfId="73" applyNumberFormat="1" applyFont="1" applyFill="1" applyBorder="1" applyAlignment="1">
      <alignment horizontal="center" vertical="center"/>
    </xf>
    <xf numFmtId="49" fontId="12" fillId="0" borderId="2" xfId="60" applyNumberFormat="1" applyFont="1" applyFill="1" applyBorder="1" applyAlignment="1" applyProtection="1">
      <alignment horizontal="center" vertical="center" wrapText="1"/>
    </xf>
    <xf numFmtId="0" fontId="12" fillId="0" borderId="2" xfId="60" applyFont="1" applyFill="1" applyBorder="1" applyAlignment="1" applyProtection="1">
      <alignment horizontal="left" vertical="center" wrapText="1"/>
    </xf>
    <xf numFmtId="0" fontId="12" fillId="0" borderId="2" xfId="60" applyFont="1" applyFill="1" applyBorder="1" applyAlignment="1" applyProtection="1">
      <alignment horizontal="center" vertical="center" wrapText="1"/>
    </xf>
    <xf numFmtId="179" fontId="12" fillId="0" borderId="8" xfId="60" applyNumberFormat="1" applyFont="1" applyFill="1" applyBorder="1" applyAlignment="1" applyProtection="1">
      <alignment horizontal="center" vertical="center" wrapText="1"/>
    </xf>
    <xf numFmtId="178" fontId="12" fillId="0" borderId="8" xfId="60" applyNumberFormat="1" applyFont="1" applyFill="1" applyBorder="1" applyAlignment="1" applyProtection="1">
      <alignment horizontal="center" vertical="center" wrapText="1"/>
    </xf>
    <xf numFmtId="178" fontId="12" fillId="0" borderId="2" xfId="60" applyNumberFormat="1" applyFont="1" applyFill="1" applyBorder="1" applyAlignment="1" applyProtection="1">
      <alignment horizontal="center" vertical="center" wrapText="1"/>
    </xf>
    <xf numFmtId="49" fontId="12" fillId="0" borderId="4" xfId="60" applyNumberFormat="1" applyFont="1" applyFill="1" applyBorder="1" applyAlignment="1" applyProtection="1">
      <alignment horizontal="center" vertical="center" wrapText="1"/>
    </xf>
    <xf numFmtId="0" fontId="12" fillId="0" borderId="4" xfId="60" applyFont="1" applyFill="1" applyBorder="1" applyAlignment="1" applyProtection="1">
      <alignment horizontal="left" vertical="center" wrapText="1"/>
    </xf>
    <xf numFmtId="0" fontId="12" fillId="0" borderId="4" xfId="60" applyFont="1" applyFill="1" applyBorder="1" applyAlignment="1" applyProtection="1">
      <alignment horizontal="center" vertical="center" wrapText="1"/>
    </xf>
    <xf numFmtId="179" fontId="12" fillId="0" borderId="10" xfId="60" applyNumberFormat="1" applyFont="1" applyFill="1" applyBorder="1" applyAlignment="1" applyProtection="1">
      <alignment horizontal="center" vertical="center" wrapText="1"/>
    </xf>
    <xf numFmtId="178" fontId="12" fillId="0" borderId="10" xfId="60" applyNumberFormat="1" applyFont="1" applyFill="1" applyBorder="1" applyAlignment="1" applyProtection="1">
      <alignment horizontal="center" vertical="center" wrapText="1"/>
    </xf>
    <xf numFmtId="178" fontId="12" fillId="0" borderId="4" xfId="60" applyNumberFormat="1" applyFont="1" applyFill="1" applyBorder="1" applyAlignment="1" applyProtection="1">
      <alignment horizontal="center" vertical="center" wrapText="1"/>
    </xf>
    <xf numFmtId="179" fontId="12" fillId="0" borderId="2" xfId="60" applyNumberFormat="1" applyFont="1" applyFill="1" applyBorder="1" applyAlignment="1" applyProtection="1">
      <alignment horizontal="center" vertical="center" wrapText="1"/>
    </xf>
    <xf numFmtId="49" fontId="6" fillId="0" borderId="2" xfId="73" applyNumberFormat="1" applyFont="1" applyFill="1" applyBorder="1" applyAlignment="1">
      <alignment horizontal="center" vertical="center"/>
    </xf>
    <xf numFmtId="0" fontId="6" fillId="0" borderId="2" xfId="73" applyFont="1" applyFill="1" applyBorder="1" applyAlignment="1">
      <alignment horizontal="left" vertical="center"/>
    </xf>
    <xf numFmtId="0" fontId="6" fillId="0" borderId="2" xfId="73" applyFont="1" applyFill="1" applyBorder="1" applyAlignment="1">
      <alignment horizontal="center" vertical="center"/>
    </xf>
    <xf numFmtId="49" fontId="9" fillId="0" borderId="3" xfId="73" applyNumberFormat="1" applyFont="1" applyFill="1" applyBorder="1" applyAlignment="1">
      <alignment vertical="center"/>
    </xf>
    <xf numFmtId="49" fontId="11" fillId="0" borderId="11" xfId="73" applyNumberFormat="1" applyFont="1" applyFill="1" applyBorder="1" applyAlignment="1">
      <alignment horizontal="left" vertical="center"/>
    </xf>
    <xf numFmtId="180" fontId="6" fillId="0" borderId="2" xfId="73" applyNumberFormat="1" applyFont="1" applyFill="1" applyBorder="1" applyAlignment="1">
      <alignment horizontal="center" vertical="center"/>
    </xf>
    <xf numFmtId="180" fontId="14" fillId="0" borderId="2" xfId="73" applyNumberFormat="1" applyFont="1" applyFill="1" applyBorder="1" applyAlignment="1">
      <alignment horizontal="center" vertical="center"/>
    </xf>
  </cellXfs>
  <cellStyles count="77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常规 6" xfId="14"/>
    <cellStyle name="60% - 强调文字颜色 2" xfId="15" builtinId="36"/>
    <cellStyle name="标题 4" xfId="16" builtinId="19"/>
    <cellStyle name="警告文本" xfId="17" builtinId="11"/>
    <cellStyle name="标题" xfId="18" builtinId="15"/>
    <cellStyle name="常规 5 2" xfId="19"/>
    <cellStyle name="常规 12" xfId="20"/>
    <cellStyle name="解释性文本" xfId="21" builtinId="53"/>
    <cellStyle name="标题 1" xfId="22" builtinId="16"/>
    <cellStyle name="标题 2" xfId="23" builtinId="17"/>
    <cellStyle name="常规 5 2 2" xfId="24"/>
    <cellStyle name="标题 3" xfId="25" builtinId="18"/>
    <cellStyle name="常规 5 2 3" xfId="26"/>
    <cellStyle name="60% - 强调文字颜色 1" xfId="27" builtinId="32"/>
    <cellStyle name="60% - 强调文字颜色 4" xfId="28" builtinId="44"/>
    <cellStyle name="输出" xfId="29" builtinId="21"/>
    <cellStyle name="计算" xfId="30" builtinId="22"/>
    <cellStyle name="检查单元格" xfId="31" builtinId="23"/>
    <cellStyle name="20% - 强调文字颜色 6" xfId="32" builtinId="50"/>
    <cellStyle name="强调文字颜色 2" xfId="33" builtinId="33"/>
    <cellStyle name="链接单元格" xfId="34" builtinId="24"/>
    <cellStyle name="汇总" xfId="35" builtinId="25"/>
    <cellStyle name="好" xfId="36" builtinId="26"/>
    <cellStyle name="适中" xfId="37" builtinId="28"/>
    <cellStyle name="20% - 强调文字颜色 5" xfId="38" builtinId="46"/>
    <cellStyle name="强调文字颜色 1" xfId="39" builtinId="29"/>
    <cellStyle name="20% - 强调文字颜色 1" xfId="40" builtinId="30"/>
    <cellStyle name="40% - 强调文字颜色 1" xfId="41" builtinId="31"/>
    <cellStyle name="20% - 强调文字颜色 2" xfId="42" builtinId="34"/>
    <cellStyle name="40% - 强调文字颜色 2" xfId="43" builtinId="35"/>
    <cellStyle name="强调文字颜色 3" xfId="44" builtinId="37"/>
    <cellStyle name="常规 3 2" xfId="45"/>
    <cellStyle name="强调文字颜色 4" xfId="46" builtinId="41"/>
    <cellStyle name="20% - 强调文字颜色 4" xfId="47" builtinId="42"/>
    <cellStyle name="40% - 强调文字颜色 4" xfId="48" builtinId="43"/>
    <cellStyle name="常规 3 3" xfId="49"/>
    <cellStyle name="强调文字颜色 5" xfId="50" builtinId="45"/>
    <cellStyle name="常规 2 2" xfId="51"/>
    <cellStyle name="40% - 强调文字颜色 5" xfId="52" builtinId="47"/>
    <cellStyle name="60% - 强调文字颜色 5" xfId="53" builtinId="48"/>
    <cellStyle name="常规 3 4" xfId="54"/>
    <cellStyle name="强调文字颜色 6" xfId="55" builtinId="49"/>
    <cellStyle name="常规 10" xfId="56"/>
    <cellStyle name="40% - 强调文字颜色 6" xfId="57" builtinId="51"/>
    <cellStyle name="60% - 强调文字颜色 6" xfId="58" builtinId="52"/>
    <cellStyle name="常规 11" xfId="59"/>
    <cellStyle name="常规 2" xfId="60"/>
    <cellStyle name="常规 3" xfId="61"/>
    <cellStyle name="常规 3 5" xfId="62"/>
    <cellStyle name="常规 3 6" xfId="63"/>
    <cellStyle name="常规 4" xfId="64"/>
    <cellStyle name="常规 4 2" xfId="65"/>
    <cellStyle name="常规 5" xfId="66"/>
    <cellStyle name="常规 6 2" xfId="67"/>
    <cellStyle name="常规 6 3" xfId="68"/>
    <cellStyle name="常规 7" xfId="69"/>
    <cellStyle name="常规 7 2" xfId="70"/>
    <cellStyle name="常规 8" xfId="71"/>
    <cellStyle name="常规 9" xfId="72"/>
    <cellStyle name="常规_杭金衢新岭隧道拓宽报价清单2012.6.4" xfId="73"/>
    <cellStyle name="样式 1" xfId="74"/>
    <cellStyle name="常规 38" xfId="75"/>
    <cellStyle name="常规 63" xfId="76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workbookViewId="0">
      <selection activeCell="F8" sqref="F8"/>
    </sheetView>
  </sheetViews>
  <sheetFormatPr defaultColWidth="10.625" defaultRowHeight="20.1" customHeight="1"/>
  <cols>
    <col min="1" max="1" width="11" style="22" customWidth="1"/>
    <col min="2" max="2" width="15.75" style="23" customWidth="1"/>
    <col min="3" max="3" width="5.75" style="24" customWidth="1"/>
    <col min="4" max="4" width="8.5" style="24" customWidth="1"/>
    <col min="5" max="5" width="8.375" style="24" customWidth="1"/>
    <col min="6" max="6" width="9.5" style="25" customWidth="1"/>
    <col min="7" max="7" width="8.875" style="25" customWidth="1"/>
    <col min="8" max="8" width="10.125" style="25" customWidth="1"/>
    <col min="9" max="9" width="10" style="24" customWidth="1"/>
    <col min="10" max="16384" width="10.625" style="24"/>
  </cols>
  <sheetData>
    <row r="1" s="20" customFormat="1" ht="42" customHeight="1" spans="1:9">
      <c r="A1" s="26" t="s">
        <v>0</v>
      </c>
      <c r="B1" s="26"/>
      <c r="C1" s="26"/>
      <c r="D1" s="26"/>
      <c r="E1" s="26"/>
      <c r="F1" s="26"/>
      <c r="G1" s="26"/>
      <c r="H1" s="26"/>
      <c r="I1" s="26"/>
    </row>
    <row r="2" s="20" customFormat="1" ht="27.75" customHeight="1" spans="1:9">
      <c r="A2" s="27" t="s">
        <v>1</v>
      </c>
      <c r="B2" s="28"/>
      <c r="C2" s="28"/>
      <c r="D2" s="28"/>
      <c r="E2" s="28"/>
      <c r="F2" s="28"/>
      <c r="G2" s="28"/>
      <c r="H2" s="28"/>
      <c r="I2" s="69"/>
    </row>
    <row r="3" s="21" customFormat="1" ht="31.5" customHeight="1" spans="1:9">
      <c r="A3" s="29" t="s">
        <v>2</v>
      </c>
      <c r="B3" s="30" t="s">
        <v>3</v>
      </c>
      <c r="C3" s="30" t="s">
        <v>4</v>
      </c>
      <c r="D3" s="30" t="s">
        <v>5</v>
      </c>
      <c r="E3" s="30" t="s">
        <v>6</v>
      </c>
      <c r="F3" s="31" t="s">
        <v>7</v>
      </c>
      <c r="G3" s="31" t="s">
        <v>8</v>
      </c>
      <c r="H3" s="32" t="s">
        <v>9</v>
      </c>
      <c r="I3" s="32" t="s">
        <v>10</v>
      </c>
    </row>
    <row r="4" s="20" customFormat="1" ht="22.5" customHeight="1" spans="1:9">
      <c r="A4" s="33" t="s">
        <v>11</v>
      </c>
      <c r="B4" s="34" t="s">
        <v>12</v>
      </c>
      <c r="C4" s="34" t="s">
        <v>13</v>
      </c>
      <c r="D4" s="35"/>
      <c r="E4" s="36"/>
      <c r="F4" s="37"/>
      <c r="G4" s="38"/>
      <c r="H4" s="38"/>
      <c r="I4" s="67"/>
    </row>
    <row r="5" s="20" customFormat="1" ht="22.5" customHeight="1" spans="1:10">
      <c r="A5" s="39" t="s">
        <v>14</v>
      </c>
      <c r="B5" s="34" t="s">
        <v>15</v>
      </c>
      <c r="C5" s="34" t="s">
        <v>16</v>
      </c>
      <c r="D5" s="40"/>
      <c r="E5" s="41">
        <v>130</v>
      </c>
      <c r="F5" s="42">
        <f>'419-1-2 Φ0.8'!E26</f>
        <v>130</v>
      </c>
      <c r="G5" s="43">
        <f>'419-1-2 Φ0.8'!D26</f>
        <v>130</v>
      </c>
      <c r="H5" s="44">
        <f>G5-E5</f>
        <v>0</v>
      </c>
      <c r="I5" s="70">
        <f>H5*D5</f>
        <v>0</v>
      </c>
      <c r="J5" s="20">
        <f>G5*D5</f>
        <v>0</v>
      </c>
    </row>
    <row r="6" s="20" customFormat="1" ht="22.5" customHeight="1" spans="1:10">
      <c r="A6" s="45" t="s">
        <v>17</v>
      </c>
      <c r="B6" s="46" t="s">
        <v>18</v>
      </c>
      <c r="C6" s="46" t="s">
        <v>13</v>
      </c>
      <c r="D6" s="47"/>
      <c r="E6" s="48"/>
      <c r="F6" s="49"/>
      <c r="G6" s="50"/>
      <c r="H6" s="51"/>
      <c r="I6" s="71"/>
      <c r="J6" s="20">
        <f>G6*D6</f>
        <v>0</v>
      </c>
    </row>
    <row r="7" s="20" customFormat="1" ht="22.5" customHeight="1" spans="1:10">
      <c r="A7" s="45" t="s">
        <v>19</v>
      </c>
      <c r="B7" s="46" t="s">
        <v>20</v>
      </c>
      <c r="C7" s="46" t="s">
        <v>16</v>
      </c>
      <c r="D7" s="47"/>
      <c r="E7" s="48">
        <v>80</v>
      </c>
      <c r="F7" s="49">
        <v>80</v>
      </c>
      <c r="G7" s="50">
        <f>'420-1-b    1-3×2'!D18</f>
        <v>80</v>
      </c>
      <c r="H7" s="51">
        <f>G7-E7</f>
        <v>0</v>
      </c>
      <c r="I7" s="71">
        <f>H7*D7</f>
        <v>0</v>
      </c>
      <c r="J7" s="20">
        <f>G7*D7</f>
        <v>0</v>
      </c>
    </row>
    <row r="8" s="20" customFormat="1" ht="22.5" customHeight="1" spans="1:10">
      <c r="A8" s="45" t="s">
        <v>21</v>
      </c>
      <c r="B8" s="46" t="s">
        <v>22</v>
      </c>
      <c r="C8" s="46" t="s">
        <v>16</v>
      </c>
      <c r="D8" s="47"/>
      <c r="E8" s="48">
        <v>58</v>
      </c>
      <c r="F8" s="49">
        <v>58</v>
      </c>
      <c r="G8" s="50">
        <v>58</v>
      </c>
      <c r="H8" s="51">
        <f>G8-E8</f>
        <v>0</v>
      </c>
      <c r="I8" s="71">
        <f>H8*D8</f>
        <v>0</v>
      </c>
      <c r="J8" s="20">
        <f>G8*D8</f>
        <v>0</v>
      </c>
    </row>
    <row r="9" s="20" customFormat="1" ht="22.5" customHeight="1" spans="1:9">
      <c r="A9" s="52"/>
      <c r="B9" s="53"/>
      <c r="C9" s="54"/>
      <c r="D9" s="55"/>
      <c r="E9" s="56"/>
      <c r="F9" s="57"/>
      <c r="G9" s="57"/>
      <c r="H9" s="38"/>
      <c r="I9" s="67"/>
    </row>
    <row r="10" s="20" customFormat="1" ht="22.5" customHeight="1" spans="1:9">
      <c r="A10" s="52"/>
      <c r="B10" s="53"/>
      <c r="C10" s="54"/>
      <c r="D10" s="55"/>
      <c r="E10" s="56"/>
      <c r="F10" s="57"/>
      <c r="G10" s="57"/>
      <c r="H10" s="38"/>
      <c r="I10" s="70"/>
    </row>
    <row r="11" s="20" customFormat="1" ht="22.5" customHeight="1" spans="1:9">
      <c r="A11" s="58"/>
      <c r="B11" s="59"/>
      <c r="C11" s="60"/>
      <c r="D11" s="61"/>
      <c r="E11" s="62"/>
      <c r="F11" s="63"/>
      <c r="G11" s="63"/>
      <c r="H11" s="38"/>
      <c r="I11" s="67"/>
    </row>
    <row r="12" s="20" customFormat="1" ht="22.5" customHeight="1" spans="1:9">
      <c r="A12" s="52"/>
      <c r="B12" s="53"/>
      <c r="C12" s="54"/>
      <c r="D12" s="64"/>
      <c r="E12" s="57"/>
      <c r="F12" s="57"/>
      <c r="G12" s="57"/>
      <c r="H12" s="38"/>
      <c r="I12" s="67"/>
    </row>
    <row r="13" ht="22.5" customHeight="1" spans="1:9">
      <c r="A13" s="52"/>
      <c r="B13" s="53"/>
      <c r="C13" s="54"/>
      <c r="D13" s="55"/>
      <c r="E13" s="56"/>
      <c r="F13" s="57"/>
      <c r="G13" s="57"/>
      <c r="H13" s="38"/>
      <c r="I13" s="67"/>
    </row>
    <row r="14" ht="22.5" customHeight="1" spans="1:9">
      <c r="A14" s="65" t="s">
        <v>23</v>
      </c>
      <c r="B14" s="66"/>
      <c r="C14" s="67"/>
      <c r="D14" s="67"/>
      <c r="E14" s="67"/>
      <c r="F14" s="38"/>
      <c r="G14" s="38"/>
      <c r="H14" s="38"/>
      <c r="I14" s="70">
        <f>SUM(I5:I12)</f>
        <v>0</v>
      </c>
    </row>
    <row r="15" customHeight="1" spans="1:9">
      <c r="A15" s="68" t="s">
        <v>24</v>
      </c>
      <c r="B15" s="68"/>
      <c r="C15" s="68"/>
      <c r="D15" s="68"/>
      <c r="E15" s="68"/>
      <c r="F15" s="68"/>
      <c r="G15" s="68"/>
      <c r="H15" s="68"/>
      <c r="I15" s="68"/>
    </row>
  </sheetData>
  <mergeCells count="2">
    <mergeCell ref="A1:I1"/>
    <mergeCell ref="A2:I2"/>
  </mergeCells>
  <pageMargins left="0.75" right="0.75" top="1" bottom="1" header="0.511805555555556" footer="0.51180555555555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"/>
  <sheetViews>
    <sheetView topLeftCell="A2" workbookViewId="0">
      <selection activeCell="B10" sqref="B10"/>
    </sheetView>
  </sheetViews>
  <sheetFormatPr defaultColWidth="9" defaultRowHeight="13.5" outlineLevelCol="5"/>
  <cols>
    <col min="1" max="1" width="8.5" customWidth="1"/>
    <col min="2" max="2" width="25.5" customWidth="1"/>
    <col min="3" max="3" width="9.75" customWidth="1"/>
    <col min="4" max="5" width="12.375" customWidth="1"/>
    <col min="6" max="6" width="20.75" customWidth="1"/>
  </cols>
  <sheetData>
    <row r="1" ht="39.75" customHeight="1" spans="1:6">
      <c r="A1" s="2" t="s">
        <v>25</v>
      </c>
      <c r="B1" s="2"/>
      <c r="C1" s="2"/>
      <c r="D1" s="2"/>
      <c r="E1" s="2"/>
      <c r="F1" s="2"/>
    </row>
    <row r="2" ht="30.75" customHeight="1" spans="1:6">
      <c r="A2" s="3" t="s">
        <v>26</v>
      </c>
      <c r="B2" s="3" t="s">
        <v>27</v>
      </c>
      <c r="C2" s="3" t="s">
        <v>28</v>
      </c>
      <c r="D2" s="4" t="s">
        <v>29</v>
      </c>
      <c r="E2" s="4" t="s">
        <v>30</v>
      </c>
      <c r="F2" s="5" t="s">
        <v>31</v>
      </c>
    </row>
    <row r="3" ht="24.95" customHeight="1" spans="1:6">
      <c r="A3" s="6">
        <v>1</v>
      </c>
      <c r="B3" s="8" t="s">
        <v>32</v>
      </c>
      <c r="C3" s="8" t="s">
        <v>33</v>
      </c>
      <c r="D3" s="8">
        <v>11</v>
      </c>
      <c r="E3" s="8">
        <v>11</v>
      </c>
      <c r="F3" s="9" t="s">
        <v>34</v>
      </c>
    </row>
    <row r="4" ht="24.95" customHeight="1" spans="1:6">
      <c r="A4" s="6">
        <v>2</v>
      </c>
      <c r="B4" s="8" t="s">
        <v>35</v>
      </c>
      <c r="C4" s="8" t="s">
        <v>33</v>
      </c>
      <c r="D4" s="8">
        <v>9</v>
      </c>
      <c r="E4" s="8">
        <v>9</v>
      </c>
      <c r="F4" s="9" t="s">
        <v>34</v>
      </c>
    </row>
    <row r="5" ht="24.95" customHeight="1" spans="1:6">
      <c r="A5" s="6">
        <v>3</v>
      </c>
      <c r="B5" s="8" t="s">
        <v>36</v>
      </c>
      <c r="C5" s="8" t="s">
        <v>33</v>
      </c>
      <c r="D5" s="8">
        <v>11</v>
      </c>
      <c r="E5" s="8">
        <v>11</v>
      </c>
      <c r="F5" s="9" t="s">
        <v>34</v>
      </c>
    </row>
    <row r="6" ht="24.95" customHeight="1" spans="1:6">
      <c r="A6" s="6">
        <v>4</v>
      </c>
      <c r="B6" s="9" t="s">
        <v>37</v>
      </c>
      <c r="C6" s="8" t="s">
        <v>33</v>
      </c>
      <c r="D6" s="8">
        <v>32</v>
      </c>
      <c r="E6" s="8">
        <v>32</v>
      </c>
      <c r="F6" s="9" t="s">
        <v>34</v>
      </c>
    </row>
    <row r="7" ht="24.95" customHeight="1" spans="1:6">
      <c r="A7" s="6">
        <v>5</v>
      </c>
      <c r="B7" s="8" t="s">
        <v>38</v>
      </c>
      <c r="C7" s="8" t="s">
        <v>33</v>
      </c>
      <c r="D7" s="8">
        <v>17</v>
      </c>
      <c r="E7" s="8">
        <v>17</v>
      </c>
      <c r="F7" s="9" t="s">
        <v>34</v>
      </c>
    </row>
    <row r="8" ht="24.95" customHeight="1" spans="1:6">
      <c r="A8" s="6">
        <v>6</v>
      </c>
      <c r="B8" s="8" t="s">
        <v>39</v>
      </c>
      <c r="C8" s="8" t="s">
        <v>33</v>
      </c>
      <c r="D8" s="8">
        <v>11</v>
      </c>
      <c r="E8" s="8">
        <v>11</v>
      </c>
      <c r="F8" s="9" t="s">
        <v>34</v>
      </c>
    </row>
    <row r="9" ht="24.95" customHeight="1" spans="1:6">
      <c r="A9" s="6">
        <v>7</v>
      </c>
      <c r="B9" s="9" t="s">
        <v>40</v>
      </c>
      <c r="C9" s="8" t="s">
        <v>33</v>
      </c>
      <c r="D9" s="8">
        <v>12</v>
      </c>
      <c r="E9" s="8">
        <v>12</v>
      </c>
      <c r="F9" s="9" t="s">
        <v>34</v>
      </c>
    </row>
    <row r="10" ht="24.95" customHeight="1" spans="1:6">
      <c r="A10" s="6">
        <v>8</v>
      </c>
      <c r="B10" s="17" t="s">
        <v>41</v>
      </c>
      <c r="C10" s="8" t="s">
        <v>33</v>
      </c>
      <c r="D10" s="8">
        <v>27</v>
      </c>
      <c r="E10" s="8">
        <v>27</v>
      </c>
      <c r="F10" s="9" t="s">
        <v>34</v>
      </c>
    </row>
    <row r="11" ht="24.95" customHeight="1" spans="1:6">
      <c r="A11" s="6"/>
      <c r="B11" s="6"/>
      <c r="C11" s="6"/>
      <c r="D11" s="6"/>
      <c r="E11" s="18"/>
      <c r="F11" s="15"/>
    </row>
    <row r="12" ht="24.95" customHeight="1" spans="1:6">
      <c r="A12" s="6"/>
      <c r="B12" s="17"/>
      <c r="C12" s="17"/>
      <c r="D12" s="19"/>
      <c r="E12" s="19"/>
      <c r="F12" s="15"/>
    </row>
    <row r="13" ht="24.95" customHeight="1" spans="1:6">
      <c r="A13" s="6"/>
      <c r="B13" s="14"/>
      <c r="C13" s="14"/>
      <c r="D13" s="6"/>
      <c r="E13" s="6"/>
      <c r="F13" s="15"/>
    </row>
    <row r="14" ht="24.95" customHeight="1" spans="1:6">
      <c r="A14" s="6"/>
      <c r="B14" s="14"/>
      <c r="C14" s="14"/>
      <c r="D14" s="6"/>
      <c r="E14" s="6"/>
      <c r="F14" s="15"/>
    </row>
    <row r="15" ht="24.95" customHeight="1" spans="1:6">
      <c r="A15" s="6"/>
      <c r="B15" s="14"/>
      <c r="C15" s="14"/>
      <c r="D15" s="6"/>
      <c r="E15" s="6"/>
      <c r="F15" s="15"/>
    </row>
    <row r="16" customFormat="1" ht="24.95" customHeight="1" spans="1:6">
      <c r="A16" s="6"/>
      <c r="B16" s="14"/>
      <c r="C16" s="14"/>
      <c r="D16" s="6"/>
      <c r="E16" s="6"/>
      <c r="F16" s="15"/>
    </row>
    <row r="17" customFormat="1" ht="24.95" customHeight="1" spans="1:6">
      <c r="A17" s="6"/>
      <c r="B17" s="14"/>
      <c r="C17" s="14"/>
      <c r="D17" s="6"/>
      <c r="E17" s="6"/>
      <c r="F17" s="15"/>
    </row>
    <row r="18" customFormat="1" ht="24.95" customHeight="1" spans="1:6">
      <c r="A18" s="6"/>
      <c r="B18" s="14"/>
      <c r="C18" s="14"/>
      <c r="D18" s="6"/>
      <c r="E18" s="6"/>
      <c r="F18" s="15"/>
    </row>
    <row r="19" customFormat="1" ht="24.95" customHeight="1" spans="1:6">
      <c r="A19" s="6"/>
      <c r="B19" s="14"/>
      <c r="C19" s="14"/>
      <c r="D19" s="6"/>
      <c r="E19" s="6"/>
      <c r="F19" s="15"/>
    </row>
    <row r="20" customFormat="1" ht="24.95" customHeight="1" spans="1:6">
      <c r="A20" s="6"/>
      <c r="B20" s="14"/>
      <c r="C20" s="14"/>
      <c r="D20" s="6"/>
      <c r="E20" s="6"/>
      <c r="F20" s="15"/>
    </row>
    <row r="21" customFormat="1" ht="24.95" customHeight="1" spans="1:6">
      <c r="A21" s="6"/>
      <c r="B21" s="14"/>
      <c r="C21" s="14"/>
      <c r="D21" s="6"/>
      <c r="E21" s="6"/>
      <c r="F21" s="15"/>
    </row>
    <row r="22" customFormat="1" ht="24.95" customHeight="1" spans="1:6">
      <c r="A22" s="6"/>
      <c r="B22" s="14"/>
      <c r="C22" s="14"/>
      <c r="D22" s="6"/>
      <c r="E22" s="6"/>
      <c r="F22" s="15"/>
    </row>
    <row r="23" customFormat="1" ht="24.95" customHeight="1" spans="1:6">
      <c r="A23" s="6"/>
      <c r="B23" s="14"/>
      <c r="C23" s="14"/>
      <c r="D23" s="6"/>
      <c r="E23" s="6"/>
      <c r="F23" s="15"/>
    </row>
    <row r="24" ht="24.95" customHeight="1" spans="1:6">
      <c r="A24" s="6"/>
      <c r="B24" s="14"/>
      <c r="C24" s="14"/>
      <c r="D24" s="6"/>
      <c r="E24" s="6"/>
      <c r="F24" s="15"/>
    </row>
    <row r="25" ht="24.95" customHeight="1" spans="1:6">
      <c r="A25" s="6"/>
      <c r="B25" s="14"/>
      <c r="C25" s="14"/>
      <c r="D25" s="6"/>
      <c r="E25" s="6"/>
      <c r="F25" s="15"/>
    </row>
    <row r="26" ht="24.95" customHeight="1" spans="1:6">
      <c r="A26" s="6" t="s">
        <v>42</v>
      </c>
      <c r="B26" s="14"/>
      <c r="C26" s="14"/>
      <c r="D26" s="6">
        <f>SUM(D3:D25)</f>
        <v>130</v>
      </c>
      <c r="E26" s="6">
        <f>SUM(E3:E25)</f>
        <v>130</v>
      </c>
      <c r="F26" s="15"/>
    </row>
    <row r="27" s="1" customFormat="1" ht="24.95" customHeight="1" spans="1:4">
      <c r="A27" s="16" t="s">
        <v>43</v>
      </c>
      <c r="B27" s="16"/>
      <c r="C27" s="16"/>
      <c r="D27" s="16"/>
    </row>
  </sheetData>
  <mergeCells count="1">
    <mergeCell ref="A1:F1"/>
  </mergeCells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topLeftCell="A2" workbookViewId="0">
      <selection activeCell="E19" sqref="E19"/>
    </sheetView>
  </sheetViews>
  <sheetFormatPr defaultColWidth="9" defaultRowHeight="13.5" outlineLevelCol="5"/>
  <cols>
    <col min="1" max="1" width="12.375" customWidth="1"/>
    <col min="2" max="2" width="18.625" customWidth="1"/>
    <col min="3" max="5" width="12.375" customWidth="1"/>
    <col min="6" max="6" width="19.25" customWidth="1"/>
  </cols>
  <sheetData>
    <row r="1" ht="33" customHeight="1" spans="1:6">
      <c r="A1" s="2" t="s">
        <v>44</v>
      </c>
      <c r="B1" s="2"/>
      <c r="C1" s="2"/>
      <c r="D1" s="2"/>
      <c r="E1" s="2"/>
      <c r="F1" s="2"/>
    </row>
    <row r="2" ht="36" customHeight="1" spans="1:6">
      <c r="A2" s="3" t="s">
        <v>26</v>
      </c>
      <c r="B2" s="3" t="s">
        <v>27</v>
      </c>
      <c r="C2" s="3" t="s">
        <v>28</v>
      </c>
      <c r="D2" s="4" t="s">
        <v>29</v>
      </c>
      <c r="E2" s="4" t="s">
        <v>30</v>
      </c>
      <c r="F2" s="5" t="s">
        <v>31</v>
      </c>
    </row>
    <row r="3" ht="30.75" customHeight="1" spans="1:6">
      <c r="A3" s="6">
        <v>1</v>
      </c>
      <c r="B3" s="8" t="s">
        <v>45</v>
      </c>
      <c r="C3" s="8" t="s">
        <v>46</v>
      </c>
      <c r="D3" s="8">
        <v>70</v>
      </c>
      <c r="E3" s="8">
        <v>70</v>
      </c>
      <c r="F3" s="9" t="s">
        <v>47</v>
      </c>
    </row>
    <row r="4" ht="30.75" customHeight="1" spans="1:6">
      <c r="A4" s="6">
        <v>2</v>
      </c>
      <c r="B4" s="14" t="s">
        <v>48</v>
      </c>
      <c r="C4" s="8" t="s">
        <v>46</v>
      </c>
      <c r="D4" s="6">
        <v>10</v>
      </c>
      <c r="E4" s="6">
        <v>10</v>
      </c>
      <c r="F4" s="15" t="s">
        <v>49</v>
      </c>
    </row>
    <row r="5" ht="30.75" customHeight="1" spans="1:6">
      <c r="A5" s="6"/>
      <c r="B5" s="14"/>
      <c r="C5" s="14"/>
      <c r="D5" s="6"/>
      <c r="E5" s="6"/>
      <c r="F5" s="15"/>
    </row>
    <row r="6" ht="30.75" customHeight="1" spans="1:6">
      <c r="A6" s="6"/>
      <c r="B6" s="14"/>
      <c r="C6" s="14"/>
      <c r="D6" s="6"/>
      <c r="E6" s="6"/>
      <c r="F6" s="15"/>
    </row>
    <row r="7" ht="30.75" customHeight="1" spans="1:6">
      <c r="A7" s="6"/>
      <c r="B7" s="14"/>
      <c r="C7" s="14"/>
      <c r="D7" s="6"/>
      <c r="E7" s="6"/>
      <c r="F7" s="15"/>
    </row>
    <row r="8" ht="30.75" customHeight="1" spans="1:6">
      <c r="A8" s="6"/>
      <c r="B8" s="14"/>
      <c r="C8" s="14"/>
      <c r="D8" s="6"/>
      <c r="E8" s="6"/>
      <c r="F8" s="15"/>
    </row>
    <row r="9" ht="30.75" customHeight="1" spans="1:6">
      <c r="A9" s="6"/>
      <c r="B9" s="14"/>
      <c r="C9" s="14"/>
      <c r="D9" s="6"/>
      <c r="E9" s="6"/>
      <c r="F9" s="15"/>
    </row>
    <row r="10" ht="30.75" customHeight="1" spans="1:6">
      <c r="A10" s="6"/>
      <c r="B10" s="14"/>
      <c r="C10" s="14"/>
      <c r="D10" s="6"/>
      <c r="E10" s="6"/>
      <c r="F10" s="15"/>
    </row>
    <row r="11" ht="30.75" customHeight="1" spans="1:6">
      <c r="A11" s="6"/>
      <c r="B11" s="14"/>
      <c r="C11" s="14"/>
      <c r="D11" s="6"/>
      <c r="E11" s="6"/>
      <c r="F11" s="15"/>
    </row>
    <row r="12" ht="30.75" customHeight="1" spans="1:6">
      <c r="A12" s="6"/>
      <c r="B12" s="14"/>
      <c r="C12" s="14"/>
      <c r="D12" s="6"/>
      <c r="E12" s="6"/>
      <c r="F12" s="15"/>
    </row>
    <row r="13" ht="30.75" customHeight="1" spans="1:6">
      <c r="A13" s="6"/>
      <c r="B13" s="14"/>
      <c r="C13" s="14"/>
      <c r="D13" s="6"/>
      <c r="E13" s="6"/>
      <c r="F13" s="15"/>
    </row>
    <row r="14" ht="30.75" customHeight="1" spans="1:6">
      <c r="A14" s="6"/>
      <c r="B14" s="14"/>
      <c r="C14" s="14"/>
      <c r="D14" s="6"/>
      <c r="E14" s="6"/>
      <c r="F14" s="15"/>
    </row>
    <row r="15" ht="30.75" customHeight="1" spans="1:6">
      <c r="A15" s="6"/>
      <c r="B15" s="14"/>
      <c r="C15" s="14"/>
      <c r="D15" s="6"/>
      <c r="E15" s="6"/>
      <c r="F15" s="15"/>
    </row>
    <row r="16" ht="30.75" customHeight="1" spans="1:6">
      <c r="A16" s="6"/>
      <c r="B16" s="14"/>
      <c r="C16" s="14"/>
      <c r="D16" s="6"/>
      <c r="E16" s="6"/>
      <c r="F16" s="15"/>
    </row>
    <row r="17" ht="30.75" customHeight="1" spans="1:6">
      <c r="A17" s="6"/>
      <c r="B17" s="14"/>
      <c r="C17" s="14"/>
      <c r="D17" s="6"/>
      <c r="E17" s="6"/>
      <c r="F17" s="15"/>
    </row>
    <row r="18" ht="30.75" customHeight="1" spans="1:6">
      <c r="A18" s="6" t="s">
        <v>42</v>
      </c>
      <c r="B18" s="14"/>
      <c r="C18" s="14"/>
      <c r="D18" s="6">
        <f>SUM(D3:D5)</f>
        <v>80</v>
      </c>
      <c r="E18" s="6">
        <f>SUM(E3:E5)</f>
        <v>80</v>
      </c>
      <c r="F18" s="15"/>
    </row>
    <row r="19" s="1" customFormat="1" ht="24.95" customHeight="1" spans="1:4">
      <c r="A19" s="16" t="s">
        <v>43</v>
      </c>
      <c r="B19" s="16"/>
      <c r="C19" s="16"/>
      <c r="D19" s="16"/>
    </row>
  </sheetData>
  <mergeCells count="1">
    <mergeCell ref="A1:F1"/>
  </mergeCells>
  <pageMargins left="0.699305555555556" right="0.699305555555556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"/>
  <sheetViews>
    <sheetView tabSelected="1" workbookViewId="0">
      <selection activeCell="F4" sqref="F4"/>
    </sheetView>
  </sheetViews>
  <sheetFormatPr defaultColWidth="9" defaultRowHeight="13.5" outlineLevelCol="5"/>
  <cols>
    <col min="1" max="1" width="12.375" customWidth="1"/>
    <col min="2" max="2" width="18" customWidth="1"/>
    <col min="3" max="5" width="12.375" customWidth="1"/>
    <col min="6" max="6" width="20.75" customWidth="1"/>
  </cols>
  <sheetData>
    <row r="1" ht="34.5" customHeight="1" spans="1:6">
      <c r="A1" s="2" t="s">
        <v>50</v>
      </c>
      <c r="B1" s="2"/>
      <c r="C1" s="2"/>
      <c r="D1" s="2"/>
      <c r="E1" s="2"/>
      <c r="F1" s="2"/>
    </row>
    <row r="2" ht="36" customHeight="1" spans="1:6">
      <c r="A2" s="3" t="s">
        <v>26</v>
      </c>
      <c r="B2" s="3" t="s">
        <v>27</v>
      </c>
      <c r="C2" s="3" t="s">
        <v>28</v>
      </c>
      <c r="D2" s="4" t="s">
        <v>29</v>
      </c>
      <c r="E2" s="4" t="s">
        <v>30</v>
      </c>
      <c r="F2" s="5" t="s">
        <v>31</v>
      </c>
    </row>
    <row r="3" ht="30.75" customHeight="1" spans="1:6">
      <c r="A3" s="6">
        <v>1</v>
      </c>
      <c r="B3" s="7" t="s">
        <v>51</v>
      </c>
      <c r="C3" s="8" t="s">
        <v>46</v>
      </c>
      <c r="D3" s="8">
        <v>58</v>
      </c>
      <c r="E3" s="8">
        <v>58</v>
      </c>
      <c r="F3" s="9" t="s">
        <v>52</v>
      </c>
    </row>
    <row r="4" ht="30.75" customHeight="1" spans="1:6">
      <c r="A4" s="6"/>
      <c r="B4" s="10"/>
      <c r="C4" s="11"/>
      <c r="D4" s="12"/>
      <c r="E4" s="12"/>
      <c r="F4" s="13"/>
    </row>
    <row r="5" ht="30.75" customHeight="1" spans="1:6">
      <c r="A5" s="6"/>
      <c r="B5" s="10"/>
      <c r="C5" s="11"/>
      <c r="D5" s="12"/>
      <c r="E5" s="12"/>
      <c r="F5" s="13"/>
    </row>
    <row r="6" ht="30.75" customHeight="1" spans="1:6">
      <c r="A6" s="6"/>
      <c r="B6" s="10"/>
      <c r="C6" s="11"/>
      <c r="D6" s="12"/>
      <c r="E6" s="12"/>
      <c r="F6" s="13"/>
    </row>
    <row r="7" ht="30.75" customHeight="1" spans="1:6">
      <c r="A7" s="6"/>
      <c r="B7" s="14"/>
      <c r="C7" s="14"/>
      <c r="D7" s="6"/>
      <c r="E7" s="6"/>
      <c r="F7" s="15"/>
    </row>
    <row r="8" ht="30.75" customHeight="1" spans="1:6">
      <c r="A8" s="6"/>
      <c r="B8" s="14"/>
      <c r="C8" s="14"/>
      <c r="D8" s="6"/>
      <c r="E8" s="6"/>
      <c r="F8" s="15"/>
    </row>
    <row r="9" ht="30.75" customHeight="1" spans="1:6">
      <c r="A9" s="6"/>
      <c r="B9" s="14"/>
      <c r="C9" s="14"/>
      <c r="D9" s="6"/>
      <c r="E9" s="6"/>
      <c r="F9" s="15"/>
    </row>
    <row r="10" ht="30.75" customHeight="1" spans="1:6">
      <c r="A10" s="6"/>
      <c r="B10" s="14"/>
      <c r="C10" s="14"/>
      <c r="D10" s="6"/>
      <c r="E10" s="6"/>
      <c r="F10" s="15"/>
    </row>
    <row r="11" ht="30.75" customHeight="1" spans="1:6">
      <c r="A11" s="6"/>
      <c r="B11" s="14"/>
      <c r="C11" s="14"/>
      <c r="D11" s="6"/>
      <c r="E11" s="6"/>
      <c r="F11" s="15"/>
    </row>
    <row r="12" ht="30.75" customHeight="1" spans="1:6">
      <c r="A12" s="6"/>
      <c r="B12" s="14"/>
      <c r="C12" s="14"/>
      <c r="D12" s="6"/>
      <c r="E12" s="6"/>
      <c r="F12" s="15"/>
    </row>
    <row r="13" ht="30.75" customHeight="1" spans="1:6">
      <c r="A13" s="6"/>
      <c r="B13" s="14"/>
      <c r="C13" s="14"/>
      <c r="D13" s="6"/>
      <c r="E13" s="6"/>
      <c r="F13" s="15"/>
    </row>
    <row r="14" ht="30.75" customHeight="1" spans="1:6">
      <c r="A14" s="6"/>
      <c r="B14" s="14"/>
      <c r="C14" s="14"/>
      <c r="D14" s="6"/>
      <c r="E14" s="6"/>
      <c r="F14" s="15"/>
    </row>
    <row r="15" ht="30.75" customHeight="1" spans="1:6">
      <c r="A15" s="6"/>
      <c r="B15" s="14"/>
      <c r="C15" s="14"/>
      <c r="D15" s="6"/>
      <c r="E15" s="6"/>
      <c r="F15" s="15"/>
    </row>
    <row r="16" ht="30.75" customHeight="1" spans="1:6">
      <c r="A16" s="6"/>
      <c r="B16" s="14"/>
      <c r="C16" s="14"/>
      <c r="D16" s="6"/>
      <c r="E16" s="6"/>
      <c r="F16" s="15"/>
    </row>
    <row r="17" ht="30.75" customHeight="1" spans="1:6">
      <c r="A17" s="6"/>
      <c r="B17" s="14"/>
      <c r="C17" s="14"/>
      <c r="D17" s="6"/>
      <c r="E17" s="6"/>
      <c r="F17" s="15"/>
    </row>
    <row r="18" ht="30.75" customHeight="1" spans="1:6">
      <c r="A18" s="6"/>
      <c r="B18" s="14"/>
      <c r="C18" s="14"/>
      <c r="D18" s="6"/>
      <c r="E18" s="6"/>
      <c r="F18" s="15"/>
    </row>
    <row r="19" ht="30.75" customHeight="1" spans="1:6">
      <c r="A19" s="6"/>
      <c r="B19" s="14"/>
      <c r="C19" s="14"/>
      <c r="D19" s="6"/>
      <c r="E19" s="6"/>
      <c r="F19" s="15"/>
    </row>
    <row r="20" ht="30.75" customHeight="1" spans="1:6">
      <c r="A20" s="6"/>
      <c r="B20" s="14"/>
      <c r="C20" s="14"/>
      <c r="D20" s="6"/>
      <c r="E20" s="6"/>
      <c r="F20" s="15"/>
    </row>
    <row r="21" ht="30.75" customHeight="1" spans="1:6">
      <c r="A21" s="6" t="s">
        <v>42</v>
      </c>
      <c r="B21" s="14"/>
      <c r="C21" s="14"/>
      <c r="D21" s="6">
        <f>SUM(D3:D8)</f>
        <v>58</v>
      </c>
      <c r="E21" s="6">
        <f>SUM(E3:E8)</f>
        <v>58</v>
      </c>
      <c r="F21" s="15"/>
    </row>
    <row r="22" s="1" customFormat="1" ht="24.95" customHeight="1" spans="1:4">
      <c r="A22" s="16" t="s">
        <v>43</v>
      </c>
      <c r="B22" s="16"/>
      <c r="C22" s="16"/>
      <c r="D22" s="16"/>
    </row>
  </sheetData>
  <mergeCells count="1">
    <mergeCell ref="A1:F1"/>
  </mergeCell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涵洞</vt:lpstr>
      <vt:lpstr>419-1-2 Φ0.8</vt:lpstr>
      <vt:lpstr>420-1-b    1-3×2</vt:lpstr>
      <vt:lpstr>420-1-f    1-4×3.5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亮哥</cp:lastModifiedBy>
  <dcterms:created xsi:type="dcterms:W3CDTF">2017-07-06T11:40:00Z</dcterms:created>
  <cp:lastPrinted>2018-02-01T12:50:00Z</cp:lastPrinted>
  <dcterms:modified xsi:type="dcterms:W3CDTF">2023-08-01T06:50:08Z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325F3D8957474463871D3D22180803CB_12</vt:lpwstr>
  </property>
</Properties>
</file>