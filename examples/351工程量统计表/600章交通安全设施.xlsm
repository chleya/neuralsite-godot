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.xml" ContentType="application/vnd.openxmlformats-officedocument.spreadsheetml.worksheet+xml"/>
  <Override PartName="/xl/worksheets/sheet70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125" windowHeight="12330"/>
  </bookViews>
  <sheets>
    <sheet name="600章" sheetId="15" r:id="rId1"/>
    <sheet name="602-6-7Gr-B-2E波形梁钢护栏 " sheetId="18" r:id="rId2"/>
    <sheet name="602-6-13 Gr-A-4E 波形梁钢护栏 " sheetId="19" r:id="rId3"/>
    <sheet name="602-6-19 Gr-SB-2E 波形梁钢护栏  " sheetId="16" r:id="rId4"/>
    <sheet name="602-6-20 Gr-SBm-1B1 波形梁钢护栏 " sheetId="21" r:id="rId5"/>
    <sheet name="602-6-21 A级护栏与砼护栏搭接段（含3m翼墙）" sheetId="22" r:id="rId6"/>
    <sheet name="602-6-22 SB级护栏与砼护栏搭接段（含3m翼墙）" sheetId="23" r:id="rId7"/>
    <sheet name="602-6-23SB级护栏隧道入口过渡段（含6m翼墙）" sheetId="24" r:id="rId8"/>
    <sheet name="602-6-24 A级护栏上游端部" sheetId="25" r:id="rId9"/>
    <sheet name="602-6-25 B级护栏上游端部" sheetId="26" r:id="rId10"/>
    <sheet name="602-6-26 SB级护栏上游端部" sheetId="27" r:id="rId11"/>
    <sheet name="602-6-27 TA级防撞垫" sheetId="28" r:id="rId12"/>
    <sheet name="602-7-13 Gr-SBm-2E波形梁钢护栏 " sheetId="20" r:id="rId13"/>
    <sheet name="602-7-15 易开型活动护栏" sheetId="29" r:id="rId14"/>
    <sheet name="602-8-5 D-I端头" sheetId="30" r:id="rId15"/>
    <sheet name="602-8-6 A型端头" sheetId="31" r:id="rId16"/>
    <sheet name="602-8-7  B型端头" sheetId="32" r:id="rId17"/>
    <sheet name="604-1-1 Φ89，停800mm单柱式交通标志 " sheetId="17" r:id="rId18"/>
    <sheet name="604-1-2 Φ89，Δ900mm+○800mm" sheetId="33" r:id="rId19"/>
    <sheet name="604-1-3 Φ89，○1000mm单柱式交通标志 " sheetId="34" r:id="rId20"/>
    <sheet name="604-1-4 Φ89，1200mmX600mm" sheetId="35" r:id="rId21"/>
    <sheet name="604-1-5 Φ89，Δ1100mm" sheetId="37" r:id="rId22"/>
    <sheet name="604-1-6 Φ89，Δ900mm+Δ900mm" sheetId="36" r:id="rId23"/>
    <sheet name="604-1-7 Φ89，线型诱导标600mmx800mm" sheetId="38" r:id="rId24"/>
    <sheet name="604-1-8 Φ89，线型诱导标600mmx800mmx2" sheetId="39" r:id="rId25"/>
    <sheet name="604-1-9 Φ114，○1000+○1000mm" sheetId="40" r:id="rId26"/>
    <sheet name="604-1-10 Φ114，○1000+1200mX800mm" sheetId="41" r:id="rId27"/>
    <sheet name="604-1-11 Φ114，1200mX1500mm" sheetId="42" r:id="rId28"/>
    <sheet name="604-4-1 4000mmX2400mm+3000mmX2" sheetId="43" r:id="rId29"/>
    <sheet name="604-4-2 ○1000mmx3门架式交通标志  " sheetId="44" r:id="rId30"/>
    <sheet name="604-4-3 3000mmX2300mmX3门架式交通标志 " sheetId="45" r:id="rId31"/>
    <sheet name="604-5-1 Φ168，○1000mm单悬臂式交通标志 " sheetId="46" r:id="rId32"/>
    <sheet name="604-5-2 Φ168，○1000mm+○1000mm" sheetId="47" r:id="rId33"/>
    <sheet name="604-5-3 Φ219，3000mmX1800mm" sheetId="48" r:id="rId34"/>
    <sheet name="604-5-4 Φ273，4000mmX1800mm" sheetId="49" r:id="rId35"/>
    <sheet name="604-5-5 Φ325，4000mmX2400mm" sheetId="50" r:id="rId36"/>
    <sheet name="604-5-6 Φ377，5000mmX3000mm" sheetId="51" r:id="rId37"/>
    <sheet name="604-6-1 Φ273，3000mmX2000mmX2" sheetId="52" r:id="rId38"/>
    <sheet name="604-7-1 530mmX340mm" sheetId="53" r:id="rId39"/>
    <sheet name="604-7-2 1400mmX700mmX2" sheetId="54" r:id="rId40"/>
    <sheet name="604-8-1 里程碑" sheetId="56" r:id="rId41"/>
    <sheet name="604-8-2 里程碑" sheetId="57" r:id="rId42"/>
    <sheet name="604-9 公路界碑 " sheetId="58" r:id="rId43"/>
    <sheet name="604-10-1 百米桩" sheetId="59" r:id="rId44"/>
    <sheet name="604-10-2 百米牌" sheetId="60" r:id="rId45"/>
    <sheet name="604-11 防撞桶 " sheetId="61" r:id="rId46"/>
    <sheet name="604-12道路反光镜" sheetId="62" r:id="rId47"/>
    <sheet name="604-13水马 " sheetId="63" r:id="rId48"/>
    <sheet name="605-1-1普通型热熔型涂料路面标线  " sheetId="64" r:id="rId49"/>
    <sheet name="605-1-3震颤标线热熔型涂料路面标线 " sheetId="65" r:id="rId50"/>
    <sheet name="605-1-4 热熔雨夜标线" sheetId="55" r:id="rId51"/>
    <sheet name="605-1-5人行横道线及预告标识" sheetId="66" r:id="rId52"/>
    <sheet name="605-1-6纵向振动减速标线" sheetId="67" r:id="rId53"/>
    <sheet name="605-1-7彩色防滑涂料标线" sheetId="68" r:id="rId54"/>
    <sheet name="605-1-8渠化标线" sheetId="69" r:id="rId55"/>
    <sheet name="605-1-9导向箭头" sheetId="70" r:id="rId56"/>
    <sheet name="605-1-10停止线" sheetId="71" r:id="rId57"/>
    <sheet name="605-1-11让行标线" sheetId="72" r:id="rId58"/>
    <sheet name="605-7-1-1De-Rbwy-E柱式轮廓标 " sheetId="73" r:id="rId59"/>
    <sheet name="605-7-2-1De-Rbwy-At1附着式轮廓标 " sheetId="74" r:id="rId60"/>
    <sheet name="605-7-2-2De-Rbwy-At2附着式轮廓标 " sheetId="75" r:id="rId61"/>
    <sheet name="605-7-2-3De-Rbwy-At3附着式轮廓标 " sheetId="76" r:id="rId62"/>
    <sheet name="605-7-2-4 LDS线型轮廓标" sheetId="77" r:id="rId63"/>
    <sheet name="605-7-6-1 反光轮廓带" sheetId="78" r:id="rId64"/>
    <sheet name="605-7-9 道口标柱 " sheetId="79" r:id="rId65"/>
    <sheet name="605-8-1 立面标记 " sheetId="80" r:id="rId66"/>
    <sheet name="605-10-1 橡胶减速带" sheetId="81" r:id="rId67"/>
    <sheet name="606-1 防眩板 " sheetId="82" r:id="rId68"/>
    <sheet name="607-2-10 洞口电光蓄能自发光标识" sheetId="83" r:id="rId69"/>
    <sheet name="607-2-11 蓄能自发光突起路标" sheetId="84" r:id="rId70"/>
  </sheets>
  <definedNames>
    <definedName name="_xlnm._FilterDatabase" localSheetId="0" hidden="1">'600章'!$B$1:$B$179</definedName>
    <definedName name="八号">EVALUATE(#REF!)</definedName>
    <definedName name="大龙">EVALUATE(#REF!)</definedName>
    <definedName name="二号">EVALUATE(#REF!)</definedName>
    <definedName name="交安" localSheetId="0">EVALUATE('600章'!#REF!)</definedName>
    <definedName name="六号">EVALUATE(#REF!)</definedName>
    <definedName name="七号">EVALUATE(#REF!)</definedName>
    <definedName name="三号">EVALUATE(#REF!)</definedName>
    <definedName name="石柱">EVALUATE(#REF!)</definedName>
    <definedName name="四号">EVALUATE(#REF!)</definedName>
    <definedName name="五号">EVALUATE(#REF!)</definedName>
    <definedName name="一号">EVALUATE(#REF!)</definedName>
  </definedNames>
  <calcPr calcId="144525"/>
</workbook>
</file>

<file path=xl/sharedStrings.xml><?xml version="1.0" encoding="utf-8"?>
<sst xmlns="http://schemas.openxmlformats.org/spreadsheetml/2006/main" count="2103" uniqueCount="534">
  <si>
    <t xml:space="preserve">清单   第 600 章 交通安全设施 </t>
  </si>
  <si>
    <t>第一册第二分册</t>
  </si>
  <si>
    <t>子目号</t>
  </si>
  <si>
    <t>子目名称</t>
  </si>
  <si>
    <t>单位</t>
  </si>
  <si>
    <t>数量</t>
  </si>
  <si>
    <t>单价</t>
  </si>
  <si>
    <t>合价</t>
  </si>
  <si>
    <t>安全设施工程177</t>
  </si>
  <si>
    <t>602</t>
  </si>
  <si>
    <t xml:space="preserve">护栏 </t>
  </si>
  <si>
    <t>602-6</t>
  </si>
  <si>
    <t xml:space="preserve">路侧波形梁钢护栏 </t>
  </si>
  <si>
    <t>602-6-7</t>
  </si>
  <si>
    <t xml:space="preserve">Gr-B-2E </t>
  </si>
  <si>
    <t>m</t>
  </si>
  <si>
    <t>602-6-13</t>
  </si>
  <si>
    <t xml:space="preserve">Gr-A-4E </t>
  </si>
  <si>
    <t>602-6-19</t>
  </si>
  <si>
    <t xml:space="preserve">Gr-SB-2E </t>
  </si>
  <si>
    <t>602-6-20</t>
  </si>
  <si>
    <t>Gr-SBm-1B1</t>
  </si>
  <si>
    <t>602-6-21</t>
  </si>
  <si>
    <t>A级护栏与砼护栏搭接段（含3m翼墙）</t>
  </si>
  <si>
    <t>602-6-22</t>
  </si>
  <si>
    <t>SB级护栏与砼护栏搭接段（含3m翼墙）</t>
  </si>
  <si>
    <t>602-6-23</t>
  </si>
  <si>
    <t>SB级护栏隧道入口过渡段（含6m翼墙）</t>
  </si>
  <si>
    <t>602-6-24</t>
  </si>
  <si>
    <t>A级护栏上游端部</t>
  </si>
  <si>
    <t>602-6-25</t>
  </si>
  <si>
    <t>B级护栏上游端部</t>
  </si>
  <si>
    <t>602-6-26</t>
  </si>
  <si>
    <t>SB级护栏上游端部</t>
  </si>
  <si>
    <t>602-6-27</t>
  </si>
  <si>
    <t>TA级防撞垫</t>
  </si>
  <si>
    <t>个</t>
  </si>
  <si>
    <t>602-7</t>
  </si>
  <si>
    <t xml:space="preserve">中央分隔带波形梁钢护栏 </t>
  </si>
  <si>
    <t>602-7-13</t>
  </si>
  <si>
    <t>Gr-SBm-2E</t>
  </si>
  <si>
    <t>602-7-15</t>
  </si>
  <si>
    <t>易开型活动护栏</t>
  </si>
  <si>
    <t>602-8</t>
  </si>
  <si>
    <t xml:space="preserve">波形梁钢护栏端头 </t>
  </si>
  <si>
    <t>602-8-5</t>
  </si>
  <si>
    <t>D-I端头</t>
  </si>
  <si>
    <t>602-8-6</t>
  </si>
  <si>
    <t>A型端头</t>
  </si>
  <si>
    <t>602-8-7</t>
  </si>
  <si>
    <t>B型端头</t>
  </si>
  <si>
    <t>604</t>
  </si>
  <si>
    <t xml:space="preserve">道路交通标志 </t>
  </si>
  <si>
    <t>604-1</t>
  </si>
  <si>
    <t xml:space="preserve">单柱式交通标志 </t>
  </si>
  <si>
    <t>604-1-1</t>
  </si>
  <si>
    <r>
      <t>Φ89</t>
    </r>
    <r>
      <rPr>
        <sz val="8"/>
        <color rgb="FF000000"/>
        <rFont val="宋体"/>
        <charset val="161"/>
      </rPr>
      <t>，停800mm</t>
    </r>
  </si>
  <si>
    <t>套</t>
  </si>
  <si>
    <t>604-1-2</t>
  </si>
  <si>
    <r>
      <t>Φ89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Calibri"/>
        <charset val="161"/>
      </rPr>
      <t>Δ</t>
    </r>
    <r>
      <rPr>
        <sz val="8"/>
        <color rgb="FF000000"/>
        <rFont val="宋体"/>
        <charset val="161"/>
      </rPr>
      <t>900mm+</t>
    </r>
    <r>
      <rPr>
        <sz val="8"/>
        <color rgb="FF000000"/>
        <rFont val="Segoe UI Symbol"/>
        <charset val="161"/>
      </rPr>
      <t>○</t>
    </r>
    <r>
      <rPr>
        <sz val="8"/>
        <color rgb="FF000000"/>
        <rFont val="宋体"/>
        <charset val="161"/>
      </rPr>
      <t>800mm</t>
    </r>
  </si>
  <si>
    <t>604-1-3</t>
  </si>
  <si>
    <r>
      <t>Φ89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Segoe UI Symbol"/>
        <charset val="161"/>
      </rPr>
      <t>○</t>
    </r>
    <r>
      <rPr>
        <sz val="8"/>
        <color rgb="FF000000"/>
        <rFont val="宋体"/>
        <charset val="161"/>
      </rPr>
      <t>1000mm</t>
    </r>
  </si>
  <si>
    <t>604-1-4</t>
  </si>
  <si>
    <r>
      <t>Φ89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Calibri"/>
        <charset val="161"/>
      </rPr>
      <t>1</t>
    </r>
    <r>
      <rPr>
        <sz val="8"/>
        <color rgb="FF000000"/>
        <rFont val="宋体"/>
        <charset val="161"/>
      </rPr>
      <t>200mmX600mm</t>
    </r>
  </si>
  <si>
    <t>604-1-5</t>
  </si>
  <si>
    <r>
      <t>Φ89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Calibri"/>
        <charset val="161"/>
      </rPr>
      <t>Δ</t>
    </r>
    <r>
      <rPr>
        <sz val="8"/>
        <color rgb="FF000000"/>
        <rFont val="宋体"/>
        <charset val="161"/>
      </rPr>
      <t>1100mm</t>
    </r>
  </si>
  <si>
    <t>604-1-6</t>
  </si>
  <si>
    <r>
      <t>Φ89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Calibri"/>
        <charset val="161"/>
      </rPr>
      <t>Δ</t>
    </r>
    <r>
      <rPr>
        <sz val="8"/>
        <color rgb="FF000000"/>
        <rFont val="宋体"/>
        <charset val="161"/>
      </rPr>
      <t>900mm+</t>
    </r>
    <r>
      <rPr>
        <sz val="8"/>
        <color rgb="FF000000"/>
        <rFont val="Calibri"/>
        <charset val="161"/>
      </rPr>
      <t>Δ</t>
    </r>
    <r>
      <rPr>
        <sz val="8"/>
        <color rgb="FF000000"/>
        <rFont val="宋体"/>
        <charset val="161"/>
      </rPr>
      <t>900mm</t>
    </r>
  </si>
  <si>
    <t>604-1-7</t>
  </si>
  <si>
    <r>
      <t>Φ89</t>
    </r>
    <r>
      <rPr>
        <sz val="8"/>
        <color rgb="FF000000"/>
        <rFont val="宋体"/>
        <charset val="161"/>
      </rPr>
      <t>，线型诱导标600mmx800mm</t>
    </r>
  </si>
  <si>
    <t>604-1-8</t>
  </si>
  <si>
    <r>
      <t>Φ89</t>
    </r>
    <r>
      <rPr>
        <sz val="8"/>
        <color rgb="FF000000"/>
        <rFont val="宋体"/>
        <charset val="161"/>
      </rPr>
      <t>，线型诱导标600mmx800mmx2</t>
    </r>
  </si>
  <si>
    <t>604-1-9</t>
  </si>
  <si>
    <r>
      <t>Φ114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Segoe UI Symbol"/>
        <charset val="161"/>
      </rPr>
      <t>○</t>
    </r>
    <r>
      <rPr>
        <sz val="8"/>
        <color rgb="FF000000"/>
        <rFont val="宋体"/>
        <charset val="161"/>
      </rPr>
      <t>1000+</t>
    </r>
    <r>
      <rPr>
        <sz val="8"/>
        <color rgb="FF000000"/>
        <rFont val="Segoe UI Symbol"/>
        <charset val="161"/>
      </rPr>
      <t>○</t>
    </r>
    <r>
      <rPr>
        <sz val="8"/>
        <color rgb="FF000000"/>
        <rFont val="宋体"/>
        <charset val="161"/>
      </rPr>
      <t>1000mm</t>
    </r>
  </si>
  <si>
    <t>604-1-10</t>
  </si>
  <si>
    <r>
      <t>Φ114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Segoe UI Symbol"/>
        <charset val="161"/>
      </rPr>
      <t>○</t>
    </r>
    <r>
      <rPr>
        <sz val="8"/>
        <color rgb="FF000000"/>
        <rFont val="宋体"/>
        <charset val="161"/>
      </rPr>
      <t>1000+1200mX800mm</t>
    </r>
  </si>
  <si>
    <t>604-1-11</t>
  </si>
  <si>
    <r>
      <t>Φ114</t>
    </r>
    <r>
      <rPr>
        <sz val="8"/>
        <color rgb="FF000000"/>
        <rFont val="宋体"/>
        <charset val="161"/>
      </rPr>
      <t>，1200mX1500mm</t>
    </r>
  </si>
  <si>
    <t>604-4</t>
  </si>
  <si>
    <t xml:space="preserve">门架式交通标志 </t>
  </si>
  <si>
    <t>604-4-1</t>
  </si>
  <si>
    <t>4000mmX2400mm+3000mmX2300mmX3</t>
  </si>
  <si>
    <t>604-4-2</t>
  </si>
  <si>
    <r>
      <t>○</t>
    </r>
    <r>
      <rPr>
        <sz val="8"/>
        <color rgb="FF000000"/>
        <rFont val="宋体"/>
        <charset val="161"/>
      </rPr>
      <t>1000mmx3</t>
    </r>
  </si>
  <si>
    <t>604-4-3</t>
  </si>
  <si>
    <t>3000mmX2300mmX3</t>
  </si>
  <si>
    <t>604-5</t>
  </si>
  <si>
    <t xml:space="preserve">单悬臂式交通标志 </t>
  </si>
  <si>
    <t>604-5-1</t>
  </si>
  <si>
    <r>
      <t>Φ</t>
    </r>
    <r>
      <rPr>
        <sz val="8"/>
        <color rgb="FF000000"/>
        <rFont val="宋体"/>
        <charset val="161"/>
      </rPr>
      <t>168，</t>
    </r>
    <r>
      <rPr>
        <sz val="8"/>
        <color rgb="FF000000"/>
        <rFont val="Segoe UI Symbol"/>
        <charset val="161"/>
      </rPr>
      <t>○</t>
    </r>
    <r>
      <rPr>
        <sz val="8"/>
        <color rgb="FF000000"/>
        <rFont val="宋体"/>
        <charset val="161"/>
      </rPr>
      <t>1000mm</t>
    </r>
  </si>
  <si>
    <t>604-5-2</t>
  </si>
  <si>
    <r>
      <t>Φ168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Segoe UI Symbol"/>
        <charset val="161"/>
      </rPr>
      <t>○</t>
    </r>
    <r>
      <rPr>
        <sz val="8"/>
        <color rgb="FF000000"/>
        <rFont val="宋体"/>
        <charset val="161"/>
      </rPr>
      <t>1000mm+</t>
    </r>
    <r>
      <rPr>
        <sz val="8"/>
        <color rgb="FF000000"/>
        <rFont val="Segoe UI Symbol"/>
        <charset val="161"/>
      </rPr>
      <t>○</t>
    </r>
    <r>
      <rPr>
        <sz val="8"/>
        <color rgb="FF000000"/>
        <rFont val="宋体"/>
        <charset val="161"/>
      </rPr>
      <t>1000mm</t>
    </r>
  </si>
  <si>
    <t>604-5-3</t>
  </si>
  <si>
    <r>
      <t>Φ219</t>
    </r>
    <r>
      <rPr>
        <sz val="8"/>
        <color rgb="FF000000"/>
        <rFont val="宋体"/>
        <charset val="161"/>
      </rPr>
      <t>，3000mmX1800mm</t>
    </r>
  </si>
  <si>
    <t>604-5-4</t>
  </si>
  <si>
    <r>
      <t>Φ273</t>
    </r>
    <r>
      <rPr>
        <sz val="8"/>
        <color rgb="FF000000"/>
        <rFont val="宋体"/>
        <charset val="161"/>
      </rPr>
      <t>，4000mmX1800mm</t>
    </r>
  </si>
  <si>
    <t>604-5-5</t>
  </si>
  <si>
    <r>
      <t>Φ</t>
    </r>
    <r>
      <rPr>
        <sz val="8"/>
        <color rgb="FF000000"/>
        <rFont val="宋体"/>
        <charset val="161"/>
      </rPr>
      <t>325，</t>
    </r>
    <r>
      <rPr>
        <sz val="8"/>
        <color rgb="FF000000"/>
        <rFont val="Calibri"/>
        <charset val="161"/>
      </rPr>
      <t>4000mmX2400mm</t>
    </r>
  </si>
  <si>
    <t>604-5-6</t>
  </si>
  <si>
    <r>
      <t>Φ</t>
    </r>
    <r>
      <rPr>
        <sz val="8"/>
        <color rgb="FF000000"/>
        <rFont val="宋体"/>
        <charset val="161"/>
      </rPr>
      <t>377，</t>
    </r>
    <r>
      <rPr>
        <sz val="8"/>
        <color rgb="FF000000"/>
        <rFont val="Calibri"/>
        <charset val="161"/>
      </rPr>
      <t>5000mmX3000mm</t>
    </r>
  </si>
  <si>
    <t>604-6</t>
  </si>
  <si>
    <t xml:space="preserve">双悬臂式交通标志 </t>
  </si>
  <si>
    <t>604-6-1</t>
  </si>
  <si>
    <r>
      <t>Φ273</t>
    </r>
    <r>
      <rPr>
        <sz val="8"/>
        <color rgb="FF000000"/>
        <rFont val="宋体"/>
        <charset val="161"/>
      </rPr>
      <t>，</t>
    </r>
    <r>
      <rPr>
        <sz val="8"/>
        <color rgb="FF000000"/>
        <rFont val="Calibri"/>
        <charset val="161"/>
      </rPr>
      <t>3000mmX2000mmX2</t>
    </r>
  </si>
  <si>
    <t>604-7</t>
  </si>
  <si>
    <t xml:space="preserve">附着式交通标志 </t>
  </si>
  <si>
    <t>604-7-1</t>
  </si>
  <si>
    <t>530mmX340mm</t>
  </si>
  <si>
    <t>604-7-2</t>
  </si>
  <si>
    <t>1400mmX700mmX2</t>
  </si>
  <si>
    <t>604-8</t>
  </si>
  <si>
    <t xml:space="preserve">里程碑 </t>
  </si>
  <si>
    <t>604-8-1</t>
  </si>
  <si>
    <t>里程碑</t>
  </si>
  <si>
    <t>604-8-2</t>
  </si>
  <si>
    <t>里程牌</t>
  </si>
  <si>
    <t>604-9</t>
  </si>
  <si>
    <t xml:space="preserve">公路界碑 </t>
  </si>
  <si>
    <t>604-10</t>
  </si>
  <si>
    <t xml:space="preserve">百米桩 </t>
  </si>
  <si>
    <t>604-10-1</t>
  </si>
  <si>
    <t>百米桩</t>
  </si>
  <si>
    <t>604-10-2</t>
  </si>
  <si>
    <t>百米牌</t>
  </si>
  <si>
    <t>604-11</t>
  </si>
  <si>
    <t xml:space="preserve">防撞桶 </t>
  </si>
  <si>
    <t>604-13</t>
  </si>
  <si>
    <t>道路反光镜</t>
  </si>
  <si>
    <t>604-14</t>
  </si>
  <si>
    <t xml:space="preserve">水马 </t>
  </si>
  <si>
    <t>605</t>
  </si>
  <si>
    <t xml:space="preserve">道路交通标线 </t>
  </si>
  <si>
    <t>605-1</t>
  </si>
  <si>
    <t xml:space="preserve">热熔型涂料路面标线 </t>
  </si>
  <si>
    <t>605-1-1</t>
  </si>
  <si>
    <t xml:space="preserve">普通型 </t>
  </si>
  <si>
    <t>m2</t>
  </si>
  <si>
    <t>605-1-3</t>
  </si>
  <si>
    <t xml:space="preserve">震颤标线 </t>
  </si>
  <si>
    <t>605-1-4</t>
  </si>
  <si>
    <t>热熔雨夜标线</t>
  </si>
  <si>
    <t>605-1-5</t>
  </si>
  <si>
    <t>人行横道线及预告标识</t>
  </si>
  <si>
    <t>605-1-6</t>
  </si>
  <si>
    <t>纵向振动减速标线</t>
  </si>
  <si>
    <t>605-1-7</t>
  </si>
  <si>
    <t>彩色防滑涂料标线</t>
  </si>
  <si>
    <t>605-1-8</t>
  </si>
  <si>
    <t>渠化标线</t>
  </si>
  <si>
    <t>605-1-9</t>
  </si>
  <si>
    <t>导向箭头</t>
  </si>
  <si>
    <t>605-1-10</t>
  </si>
  <si>
    <t>停止线</t>
  </si>
  <si>
    <t>605-1-11</t>
  </si>
  <si>
    <t>让行标线</t>
  </si>
  <si>
    <t>605-7</t>
  </si>
  <si>
    <t xml:space="preserve">视线诱导设施 </t>
  </si>
  <si>
    <t>605-7-1</t>
  </si>
  <si>
    <t xml:space="preserve">柱式轮廓标 </t>
  </si>
  <si>
    <t>605-7-1-1</t>
  </si>
  <si>
    <t>De-Rbw/y-E</t>
  </si>
  <si>
    <t>根</t>
  </si>
  <si>
    <t>605-7-2</t>
  </si>
  <si>
    <t xml:space="preserve">附着式轮廓标 </t>
  </si>
  <si>
    <t>605-7-2-1</t>
  </si>
  <si>
    <t>De-Rbw/y-At1</t>
  </si>
  <si>
    <t>605-7-2-2</t>
  </si>
  <si>
    <t>De-Rbw/y-At2</t>
  </si>
  <si>
    <t>605-7-2-3</t>
  </si>
  <si>
    <t>De-Rbw/y-At3</t>
  </si>
  <si>
    <t>605-7-2-4</t>
  </si>
  <si>
    <t>LDS线型轮廓标</t>
  </si>
  <si>
    <t>605-7-6</t>
  </si>
  <si>
    <t xml:space="preserve">隧道轮廓带 </t>
  </si>
  <si>
    <t>605-7-6-1</t>
  </si>
  <si>
    <t>反光轮廓带</t>
  </si>
  <si>
    <t>只</t>
  </si>
  <si>
    <t>605-7-9</t>
  </si>
  <si>
    <t xml:space="preserve">道口标柱 </t>
  </si>
  <si>
    <t>605-8</t>
  </si>
  <si>
    <t xml:space="preserve">立面标记 </t>
  </si>
  <si>
    <t>605-8-1</t>
  </si>
  <si>
    <t>㎡</t>
  </si>
  <si>
    <t>605-10</t>
  </si>
  <si>
    <t xml:space="preserve">减速带 </t>
  </si>
  <si>
    <t>605-10-1</t>
  </si>
  <si>
    <t>橡胶减速带</t>
  </si>
  <si>
    <t>606</t>
  </si>
  <si>
    <t xml:space="preserve">防眩设施 </t>
  </si>
  <si>
    <t>606-1</t>
  </si>
  <si>
    <t xml:space="preserve">防眩板 </t>
  </si>
  <si>
    <t>块</t>
  </si>
  <si>
    <t>607</t>
  </si>
  <si>
    <t xml:space="preserve">其他设施 </t>
  </si>
  <si>
    <t>607-2</t>
  </si>
  <si>
    <t xml:space="preserve">蓄能自发光 </t>
  </si>
  <si>
    <t>607-2-10</t>
  </si>
  <si>
    <t>洞口电光蓄能自发光标识</t>
  </si>
  <si>
    <t>607-2-11</t>
  </si>
  <si>
    <t>蓄能自发光突起路标</t>
  </si>
  <si>
    <t>609-1</t>
  </si>
  <si>
    <t>路口信号灯系统</t>
  </si>
  <si>
    <t>609-1-1</t>
  </si>
  <si>
    <t>十字路口信号灯（含电子警察）（K7+530下新线交叉口）</t>
  </si>
  <si>
    <t>路口</t>
  </si>
  <si>
    <t>机动车信号灯杆部件（L＝9m）</t>
  </si>
  <si>
    <t>机动车信号灯杆部件（L＝6m）</t>
  </si>
  <si>
    <t>路口信号灯控制主机及机柜</t>
  </si>
  <si>
    <t>满屏信号灯盘</t>
  </si>
  <si>
    <t>箭头信号灯盘</t>
  </si>
  <si>
    <t>人行横道灯盘</t>
  </si>
  <si>
    <t>柱式人行横道灯杆部件</t>
  </si>
  <si>
    <t>电缆线</t>
  </si>
  <si>
    <t>电源线</t>
  </si>
  <si>
    <t>避雷接地</t>
  </si>
  <si>
    <t>处</t>
  </si>
  <si>
    <t>接地线</t>
  </si>
  <si>
    <t>2Φ114钢管预埋</t>
  </si>
  <si>
    <t>2Φ110PE管预埋</t>
  </si>
  <si>
    <t>窨井</t>
  </si>
  <si>
    <t>安装辅材</t>
  </si>
  <si>
    <t>批</t>
  </si>
  <si>
    <t>安装调试</t>
  </si>
  <si>
    <t>高清电警抓拍摄像单元</t>
  </si>
  <si>
    <t>高清卡口抓拍摄像单元</t>
  </si>
  <si>
    <t>电子警察控制主机</t>
  </si>
  <si>
    <t>高清网络球机</t>
  </si>
  <si>
    <t>交通灯信号检测器</t>
  </si>
  <si>
    <t>台</t>
  </si>
  <si>
    <t>大角度LED补光灯</t>
  </si>
  <si>
    <t>小角度LED补光灯</t>
  </si>
  <si>
    <t>气体放电类补光灯</t>
  </si>
  <si>
    <t>电源防雷器</t>
  </si>
  <si>
    <t>联网光纤交换机</t>
  </si>
  <si>
    <t>配套线缆</t>
  </si>
  <si>
    <t>光纤收发器</t>
  </si>
  <si>
    <t>杆件（挑臂8m）</t>
  </si>
  <si>
    <t>杆件（挑臂5m）</t>
  </si>
  <si>
    <t>抱杆箱</t>
  </si>
  <si>
    <t>路口箱</t>
  </si>
  <si>
    <t>中心存储</t>
  </si>
  <si>
    <t>网络运营费</t>
  </si>
  <si>
    <t>年</t>
  </si>
  <si>
    <t>609-1-2</t>
  </si>
  <si>
    <t>T字路口信号灯（含电子警察）（K7+796南下线交叉口）</t>
  </si>
  <si>
    <t>路口自适应软件</t>
  </si>
  <si>
    <t>609-2</t>
  </si>
  <si>
    <t>电子档案</t>
  </si>
  <si>
    <t>km</t>
  </si>
  <si>
    <t>602-6-7Gr-B-2E波形梁钢护栏  计算表</t>
  </si>
  <si>
    <t>序号</t>
  </si>
  <si>
    <t>实施范围</t>
  </si>
  <si>
    <t>实施桩号</t>
  </si>
  <si>
    <t>设置位置</t>
  </si>
  <si>
    <t>数量（m）</t>
  </si>
  <si>
    <t>备注</t>
  </si>
  <si>
    <t>连接线</t>
  </si>
  <si>
    <t>K4+700接线</t>
  </si>
  <si>
    <t>左、右</t>
  </si>
  <si>
    <t>第一册第二分册S2-19-1</t>
  </si>
  <si>
    <t>改路</t>
  </si>
  <si>
    <t>K6+250改路</t>
  </si>
  <si>
    <t>左</t>
  </si>
  <si>
    <t>K6+885改路</t>
  </si>
  <si>
    <t>K7+060改路</t>
  </si>
  <si>
    <t>合计</t>
  </si>
  <si>
    <t>A匝道</t>
  </si>
  <si>
    <t>AK0+375-AK0+445</t>
  </si>
  <si>
    <t>右</t>
  </si>
  <si>
    <t>AK0+120-AK0+168</t>
  </si>
  <si>
    <t>B匝道</t>
  </si>
  <si>
    <t>BK0+332-BK0+380</t>
  </si>
  <si>
    <t>BK0+020-BK0+115</t>
  </si>
  <si>
    <t>C匝道</t>
  </si>
  <si>
    <t>CK0+010-CK0+260</t>
  </si>
  <si>
    <t>D匝道</t>
  </si>
  <si>
    <t>DK0+010-DK0+246</t>
  </si>
  <si>
    <t>602-6-19 Gr-SB-2E波形梁钢护栏  计算表</t>
  </si>
  <si>
    <t>右幅主线</t>
  </si>
  <si>
    <t>K4+300-K4+330</t>
  </si>
  <si>
    <t>K4+580-K4+610</t>
  </si>
  <si>
    <t>K4+630-K4+800</t>
  </si>
  <si>
    <t>K4+580-K4+602</t>
  </si>
  <si>
    <t>K4+642-K4+800</t>
  </si>
  <si>
    <t>K5+980-K6+520</t>
  </si>
  <si>
    <t>K6+690-K6+840</t>
  </si>
  <si>
    <t>K5+980-K6+120</t>
  </si>
  <si>
    <t>K6+160-K6+840</t>
  </si>
  <si>
    <t>左幅主线</t>
  </si>
  <si>
    <t>K4+250-K4+336</t>
  </si>
  <si>
    <t>K4+585-K4+610</t>
  </si>
  <si>
    <t>K4+650-K4+805</t>
  </si>
  <si>
    <t>K6+016-K6+130</t>
  </si>
  <si>
    <t>K6+170-K6+840</t>
  </si>
  <si>
    <t>K4+585-K4+661</t>
  </si>
  <si>
    <t>K4+690-K4+805</t>
  </si>
  <si>
    <t>K6+016-K6+510</t>
  </si>
  <si>
    <t>K6+720-K6+840</t>
  </si>
  <si>
    <t>AK0+023-AK0+220</t>
  </si>
  <si>
    <t>AK0+050-AK0+220</t>
  </si>
  <si>
    <t>AK0+350-AK0+430</t>
  </si>
  <si>
    <t>BK0+020-BK0+130</t>
  </si>
  <si>
    <t>BK0+300-BK0+470</t>
  </si>
  <si>
    <t>602-6-20 Gr-SBm-1B1 波形梁钢护栏 计算表</t>
  </si>
  <si>
    <t>主线</t>
  </si>
  <si>
    <t>K7+180-K7+420</t>
  </si>
  <si>
    <t>K7+172-K7+420</t>
  </si>
  <si>
    <t>602-6-21 A级护栏与砼护栏搭接段（含3m翼墙）计算表</t>
  </si>
  <si>
    <t>602-6-22 SB级护栏与砼护栏搭接段（含3m翼墙） 计算表</t>
  </si>
  <si>
    <t>K7+080-K7+420</t>
  </si>
  <si>
    <t>中</t>
  </si>
  <si>
    <t>602-6-23SB级护栏隧道入口过渡段（含6m翼墙） 计算表</t>
  </si>
  <si>
    <t>602-6-24 A级护栏上游端部 计算表</t>
  </si>
  <si>
    <t>602-6-25 B级护栏上游端部 计算表</t>
  </si>
  <si>
    <t>602-6-27 TA级防撞垫 计算表</t>
  </si>
  <si>
    <t>数量（个）</t>
  </si>
  <si>
    <t>马宅互通A匝道分流鼻</t>
  </si>
  <si>
    <t>第一册第二分册S2-22-1</t>
  </si>
  <si>
    <t>602-7-13 Gr-SBm-2E波形梁钢护栏  计算表</t>
  </si>
  <si>
    <t>602-7-15 易开型活动护栏 计算表</t>
  </si>
  <si>
    <t>K4+602-K4+642</t>
  </si>
  <si>
    <t>K6+120-K6+160</t>
  </si>
  <si>
    <t>602-8-5 D-I端头 计算表</t>
  </si>
  <si>
    <t>K7+080-K7-420</t>
  </si>
  <si>
    <t>K7-180-K7-420</t>
  </si>
  <si>
    <t>602-8-6 A型端头 计算表</t>
  </si>
  <si>
    <t>602-8-7  B型端头计算表</t>
  </si>
  <si>
    <t xml:space="preserve">604-1-1 Φ89，停800mm单柱式交通标志 </t>
  </si>
  <si>
    <t>K0+400</t>
  </si>
  <si>
    <t>第一册第二分册S2-18-1</t>
  </si>
  <si>
    <t>K0+005</t>
  </si>
  <si>
    <t xml:space="preserve">604-1-2 Φ89，Δ900mm+○800mm单柱式交通标志 </t>
  </si>
  <si>
    <t>K4+630</t>
  </si>
  <si>
    <t>ZK4+640</t>
  </si>
  <si>
    <t xml:space="preserve">604-1-3 Φ89，○1000mm单柱式交通标志  </t>
  </si>
  <si>
    <t>K7+530</t>
  </si>
  <si>
    <t>K7+560</t>
  </si>
  <si>
    <t>K7+780</t>
  </si>
  <si>
    <t>K9+130南下线</t>
  </si>
  <si>
    <t>K9+240南下线</t>
  </si>
  <si>
    <t>K9+850南下线</t>
  </si>
  <si>
    <t xml:space="preserve">604-1-4 Φ89，1200mmX600mm单柱式交通标志  </t>
  </si>
  <si>
    <t>ZK4+680</t>
  </si>
  <si>
    <t xml:space="preserve">604-1-5 Φ89，Δ1100mm单柱式交通标志  </t>
  </si>
  <si>
    <t>K7+250</t>
  </si>
  <si>
    <t xml:space="preserve">604-1-6 Φ89，Δ900mm+Δ900mm单柱式交通标志  </t>
  </si>
  <si>
    <t>K0+370</t>
  </si>
  <si>
    <t>K0+030</t>
  </si>
  <si>
    <t>K0+360</t>
  </si>
  <si>
    <t xml:space="preserve">604-1-7 Φ89，线型诱导标600mmx800mm单柱式交通标志  </t>
  </si>
  <si>
    <t>ZK6+450</t>
  </si>
  <si>
    <t>K6+450</t>
  </si>
  <si>
    <t>ZK6+480</t>
  </si>
  <si>
    <t>K6+480</t>
  </si>
  <si>
    <t>ZK6+510</t>
  </si>
  <si>
    <t>K6+510</t>
  </si>
  <si>
    <t>ZK6+540</t>
  </si>
  <si>
    <t>K6+540</t>
  </si>
  <si>
    <t>K6+570</t>
  </si>
  <si>
    <t>ZK6+570</t>
  </si>
  <si>
    <t>K6+600</t>
  </si>
  <si>
    <t>ZK6+600</t>
  </si>
  <si>
    <t>K6+630</t>
  </si>
  <si>
    <t>ZK6+630</t>
  </si>
  <si>
    <t>K6+660</t>
  </si>
  <si>
    <t>ZK6+660</t>
  </si>
  <si>
    <t xml:space="preserve">604-1-8 Φ89，线型诱导标600mmx800mmx2单柱式交通标志  </t>
  </si>
  <si>
    <t>K0+325</t>
  </si>
  <si>
    <t>K0+305</t>
  </si>
  <si>
    <t>K0+285</t>
  </si>
  <si>
    <t>K0+340</t>
  </si>
  <si>
    <t>K0+330</t>
  </si>
  <si>
    <t>K0+265</t>
  </si>
  <si>
    <t>K0+320</t>
  </si>
  <si>
    <t>K0+310</t>
  </si>
  <si>
    <t>K0+130</t>
  </si>
  <si>
    <t>K0+070</t>
  </si>
  <si>
    <t>K0+110</t>
  </si>
  <si>
    <t>K0+090</t>
  </si>
  <si>
    <t>K0+165</t>
  </si>
  <si>
    <t>K0+210</t>
  </si>
  <si>
    <t>K0+180</t>
  </si>
  <si>
    <t>K0+195</t>
  </si>
  <si>
    <t xml:space="preserve">604-1-9 Φ114，○1000+○1000mm单柱式交通标志  </t>
  </si>
  <si>
    <t>K4+330</t>
  </si>
  <si>
    <t>ZK4+590</t>
  </si>
  <si>
    <t>K6+835</t>
  </si>
  <si>
    <t>ZK7+095</t>
  </si>
  <si>
    <t>K7+410</t>
  </si>
  <si>
    <t>AK0+360</t>
  </si>
  <si>
    <t>BK0+080</t>
  </si>
  <si>
    <t xml:space="preserve">604-1-10 Φ114，○1000+1200mX800mm单柱式交通标志  </t>
  </si>
  <si>
    <t>K7+120</t>
  </si>
  <si>
    <t>AZK0+150</t>
  </si>
  <si>
    <t xml:space="preserve">604-1-11 Φ114，1200mX1500mm单柱式交通标志  </t>
  </si>
  <si>
    <t xml:space="preserve">604-4-1 4000mmX2400mm+3000mmX2300mmX3门架式交通标志   </t>
  </si>
  <si>
    <t>K4+500</t>
  </si>
  <si>
    <t>ZK4+750</t>
  </si>
  <si>
    <t xml:space="preserve">604-4-2 ○1000mmx3门架式交通标志   </t>
  </si>
  <si>
    <t>ZK6+680</t>
  </si>
  <si>
    <t xml:space="preserve">604-4-3 3000mmX2300mmX3门架式交通标志    </t>
  </si>
  <si>
    <t>ZK6+390</t>
  </si>
  <si>
    <t xml:space="preserve">604-5-1 Φ168，○1000mm单悬臂式交通标志    </t>
  </si>
  <si>
    <t>K9+400南下线</t>
  </si>
  <si>
    <t>K8+950南下线</t>
  </si>
  <si>
    <t xml:space="preserve">604-5-2 Φ168，○1000mm+○1000mm单悬臂式交通标志    </t>
  </si>
  <si>
    <t>ZK4+500</t>
  </si>
  <si>
    <t>K4+670</t>
  </si>
  <si>
    <t>第一册第二分册S2-18-2</t>
  </si>
  <si>
    <t>ZK6+180</t>
  </si>
  <si>
    <t>第一册第二分册S2-18-3</t>
  </si>
  <si>
    <t>K6+105</t>
  </si>
  <si>
    <t xml:space="preserve">604-5-3 Φ219，3000mmX1800mm单悬臂式交通标志    </t>
  </si>
  <si>
    <t>双徐线</t>
  </si>
  <si>
    <t>K0+060</t>
  </si>
  <si>
    <t>AK0+390</t>
  </si>
  <si>
    <t>第一册第二分册S2-18-6</t>
  </si>
  <si>
    <t>下新线</t>
  </si>
  <si>
    <t>DK0+180</t>
  </si>
  <si>
    <t>CK0+180</t>
  </si>
  <si>
    <t>第一册第二分册S2-18-7</t>
  </si>
  <si>
    <t>K9+250南下线</t>
  </si>
  <si>
    <t>K9+780南下线</t>
  </si>
  <si>
    <t xml:space="preserve">604-5-4 Φ273，4000mmX1800mm单悬臂式交通标志    </t>
  </si>
  <si>
    <t>K9+110南下线</t>
  </si>
  <si>
    <t xml:space="preserve">604-5-5 Φ325，4000mmX2400mm单悬臂式交通标志    </t>
  </si>
  <si>
    <t>AK0+300</t>
  </si>
  <si>
    <t>DK0+100</t>
  </si>
  <si>
    <t>CK0+150</t>
  </si>
  <si>
    <t>K9+100南下线</t>
  </si>
  <si>
    <t>K9+300南下线</t>
  </si>
  <si>
    <t>老东仙线</t>
  </si>
  <si>
    <t>第一册第二分册S2-18-8</t>
  </si>
  <si>
    <t xml:space="preserve">604-5-6 Φ377，5000mmX3000mm单悬臂式交通标志    </t>
  </si>
  <si>
    <t>ZK4+320</t>
  </si>
  <si>
    <t>K4+740</t>
  </si>
  <si>
    <t>ZK6+100</t>
  </si>
  <si>
    <t>ZK6+290</t>
  </si>
  <si>
    <t>第一册第二分册S2-18-4</t>
  </si>
  <si>
    <t>K6+650</t>
  </si>
  <si>
    <t>第一册第二分册S2-18-5</t>
  </si>
  <si>
    <t>K6+950</t>
  </si>
  <si>
    <t xml:space="preserve">604-6-1 Φ273，3000mmX2000mmX2双悬臂式交通标志     </t>
  </si>
  <si>
    <t>K7+180</t>
  </si>
  <si>
    <t xml:space="preserve">604-7-1 530mmX340mm 附着式交通标志 </t>
  </si>
  <si>
    <t xml:space="preserve">604-7-2 1400mmX700mmX2 附着式交通标志 </t>
  </si>
  <si>
    <t>604-8-1 里程碑</t>
  </si>
  <si>
    <t>K4+300 K7+420</t>
  </si>
  <si>
    <t>K4+250 K7+420</t>
  </si>
  <si>
    <t>604-8-2 里程碑</t>
  </si>
  <si>
    <t xml:space="preserve">604-9 公路界碑 </t>
  </si>
  <si>
    <t>604-10-1 百米桩</t>
  </si>
  <si>
    <t>604-10-2 百米牌</t>
  </si>
  <si>
    <t xml:space="preserve">604-11 防撞桶 </t>
  </si>
  <si>
    <t>604-12道路反光镜</t>
  </si>
  <si>
    <t>接线</t>
  </si>
  <si>
    <t>右侧接线K0+190</t>
  </si>
  <si>
    <t xml:space="preserve">604-13水马 </t>
  </si>
  <si>
    <t>K6+680K7+180</t>
  </si>
  <si>
    <t>左右</t>
  </si>
  <si>
    <t>605-1-1普通型热熔型涂料路面标线</t>
  </si>
  <si>
    <t>数量（m2）</t>
  </si>
  <si>
    <t>右幅</t>
  </si>
  <si>
    <t>K4+300-K6+960</t>
  </si>
  <si>
    <t>第一册第二分册S2-20-1</t>
  </si>
  <si>
    <t>左幅</t>
  </si>
  <si>
    <t>ZK4+250-ZK6+696</t>
  </si>
  <si>
    <t>K线</t>
  </si>
  <si>
    <t>K6+960-K7+420</t>
  </si>
  <si>
    <t>K7+530马宅互通交叉口</t>
  </si>
  <si>
    <t>匝道</t>
  </si>
  <si>
    <t>马宅互通A匝道</t>
  </si>
  <si>
    <t>马宅互通B匝道</t>
  </si>
  <si>
    <t>马宅互通C匝道</t>
  </si>
  <si>
    <t>马宅互通D匝道</t>
  </si>
  <si>
    <t>K7+796南下线陆口</t>
  </si>
  <si>
    <t>K6+700接线</t>
  </si>
  <si>
    <t>605-1-3震颤标线热熔型涂料路面标线</t>
  </si>
  <si>
    <t>605-1-4 热熔雨夜标线热熔型涂料路面标线</t>
  </si>
  <si>
    <t>605-1-5人行横道线及预告标识</t>
  </si>
  <si>
    <t>K7+796南下线路口</t>
  </si>
  <si>
    <t>605-1-6纵向振动减速标线</t>
  </si>
  <si>
    <t>K4+400-K4+600</t>
  </si>
  <si>
    <t>K4+700-K4+900</t>
  </si>
  <si>
    <t>605-1-7彩色防滑涂料标线</t>
  </si>
  <si>
    <t>605-1-8渠化标线</t>
  </si>
  <si>
    <t>605-1-9导向箭头</t>
  </si>
  <si>
    <t>605-1-10停止线</t>
  </si>
  <si>
    <t>605-1-11让行标线</t>
  </si>
  <si>
    <t xml:space="preserve">605-7-1-1De-Rbw/y-E柱式轮廓标 </t>
  </si>
  <si>
    <t>主线右幅</t>
  </si>
  <si>
    <t>K6+055-K6+960</t>
  </si>
  <si>
    <t>第一册第二分册S2-21-1</t>
  </si>
  <si>
    <t>主线左幅</t>
  </si>
  <si>
    <t>ZK6+065-ZK6+696</t>
  </si>
  <si>
    <t>马宅互通</t>
  </si>
  <si>
    <t>AK0+000-AK0+460</t>
  </si>
  <si>
    <t>BK0+000-BK0+478</t>
  </si>
  <si>
    <t>CK0+000-CK0+264</t>
  </si>
  <si>
    <t>DK0+000-DK0+249</t>
  </si>
  <si>
    <t xml:space="preserve">605-7-2-1De-Rbw/y-At1附着式轮廓标 </t>
  </si>
  <si>
    <t>K6+690-K7+420</t>
  </si>
  <si>
    <t>K7+170-K7+420</t>
  </si>
  <si>
    <t xml:space="preserve">605-7-2-2 De-Rbw/y-At2附着式轮廓标 </t>
  </si>
  <si>
    <t xml:space="preserve">605-7-2-3 De-Rbw/y-At3附着式轮廓标 </t>
  </si>
  <si>
    <t>K4+780-K6+055</t>
  </si>
  <si>
    <t>ZK4+785-ZK6+065</t>
  </si>
  <si>
    <t>605-7-2-4 LDS线型轮廓标</t>
  </si>
  <si>
    <t>K4+300-K4+780</t>
  </si>
  <si>
    <t>ZK4+250-ZK4+785</t>
  </si>
  <si>
    <t>605-7-6-1 反光轮廓带</t>
  </si>
  <si>
    <t>后山隧道右洞</t>
  </si>
  <si>
    <t>进出口100米区域20m设置一环，中间段50m设置一环，共31环</t>
  </si>
  <si>
    <t>第一册第二分册S2-42</t>
  </si>
  <si>
    <t>后山隧道左洞</t>
  </si>
  <si>
    <t>进出口100米区域20m设置一环，中间段50m设置一环，共32环</t>
  </si>
  <si>
    <t xml:space="preserve">605-7-9 道口标柱 </t>
  </si>
  <si>
    <t>支路口</t>
  </si>
  <si>
    <t>K4+700T型交叉口</t>
  </si>
  <si>
    <t>K4+701T型交叉口</t>
  </si>
  <si>
    <t>马宅互通下新线路口</t>
  </si>
  <si>
    <t>马宅互通南下线路口</t>
  </si>
  <si>
    <t>605-8-1 立面标记</t>
  </si>
  <si>
    <t>数量（M2）</t>
  </si>
  <si>
    <t>洋坑隧道</t>
  </si>
  <si>
    <t>后山隧道</t>
  </si>
  <si>
    <t>605-10-1 橡胶减速带</t>
  </si>
  <si>
    <t xml:space="preserve">606-1 防眩板 </t>
  </si>
  <si>
    <t>K4+456七秩塘桥</t>
  </si>
  <si>
    <t>K6+899横路店大桥</t>
  </si>
  <si>
    <t>607-2-10 洞口电光蓄能自发光标识</t>
  </si>
  <si>
    <t>数量（m个）</t>
  </si>
  <si>
    <t>洞口立面</t>
  </si>
  <si>
    <t>607-2-11 蓄能自发光突起路标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</si>
</sst>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b/>
      <sz val="11"/>
      <color indexed="8"/>
      <name val="宋体"/>
      <charset val="134"/>
    </font>
    <font>
      <b/>
      <sz val="8"/>
      <color indexed="8"/>
      <name val="宋体"/>
      <charset val="134"/>
    </font>
    <font>
      <sz val="8"/>
      <color indexed="8"/>
      <name val="宋体"/>
      <charset val="134"/>
    </font>
    <font>
      <sz val="8"/>
      <color theme="1"/>
      <name val="宋体"/>
      <charset val="134"/>
      <scheme val="minor"/>
    </font>
    <font>
      <sz val="8"/>
      <color rgb="FF000000"/>
      <name val="Calibri"/>
      <charset val="161"/>
    </font>
    <font>
      <sz val="8"/>
      <color indexed="8"/>
      <name val="宋体"/>
      <charset val="161"/>
    </font>
    <font>
      <sz val="8"/>
      <color rgb="FF000000"/>
      <name val="Segoe UI Symbol"/>
      <charset val="161"/>
    </font>
    <font>
      <sz val="14"/>
      <color rgb="FF000000"/>
      <name val="微软雅黑"/>
      <charset val="134"/>
    </font>
    <font>
      <sz val="10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8"/>
      <color rgb="FF000000"/>
      <name val="宋体"/>
      <charset val="161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0" fontId="10" fillId="5" borderId="0" applyNumberFormat="0" applyBorder="0" applyAlignment="0" applyProtection="0">
      <alignment vertical="center"/>
    </xf>
    <xf numFmtId="0" fontId="11" fillId="6" borderId="11" applyNumberFormat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0" borderId="12" applyNumberFormat="0" applyFont="0" applyAlignment="0" applyProtection="0">
      <alignment vertical="center"/>
    </xf>
    <xf numFmtId="0" fontId="9" fillId="0" borderId="0"/>
    <xf numFmtId="0" fontId="13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0"/>
    <xf numFmtId="0" fontId="19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6" fillId="0" borderId="14" applyNumberFormat="0" applyFill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22" fillId="14" borderId="15" applyNumberFormat="0" applyAlignment="0" applyProtection="0">
      <alignment vertical="center"/>
    </xf>
    <xf numFmtId="0" fontId="23" fillId="14" borderId="11" applyNumberFormat="0" applyAlignment="0" applyProtection="0">
      <alignment vertical="center"/>
    </xf>
    <xf numFmtId="0" fontId="9" fillId="0" borderId="0"/>
    <xf numFmtId="0" fontId="9" fillId="0" borderId="0"/>
    <xf numFmtId="0" fontId="24" fillId="15" borderId="16" applyNumberFormat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28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9" fillId="0" borderId="0"/>
    <xf numFmtId="0" fontId="10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0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</cellStyleXfs>
  <cellXfs count="5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3" xfId="0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0" xfId="106" applyAlignment="1">
      <alignment horizontal="center" vertical="center"/>
    </xf>
    <xf numFmtId="0" fontId="0" fillId="0" borderId="0" xfId="106">
      <alignment vertical="center"/>
    </xf>
    <xf numFmtId="0" fontId="1" fillId="0" borderId="5" xfId="106" applyFont="1" applyBorder="1" applyAlignment="1">
      <alignment horizontal="center" vertical="center"/>
    </xf>
    <xf numFmtId="0" fontId="1" fillId="0" borderId="0" xfId="106" applyFont="1" applyAlignment="1">
      <alignment horizontal="center" vertical="center"/>
    </xf>
    <xf numFmtId="0" fontId="2" fillId="0" borderId="1" xfId="69" applyFont="1" applyBorder="1" applyAlignment="1">
      <alignment horizontal="center" vertical="center" wrapText="1"/>
    </xf>
    <xf numFmtId="0" fontId="0" fillId="0" borderId="0" xfId="106" applyAlignment="1">
      <alignment vertical="center" wrapText="1"/>
    </xf>
    <xf numFmtId="0" fontId="3" fillId="0" borderId="6" xfId="96" applyFont="1" applyBorder="1" applyAlignment="1">
      <alignment horizontal="center" vertical="center" wrapText="1"/>
    </xf>
    <xf numFmtId="0" fontId="3" fillId="0" borderId="7" xfId="96" applyFont="1" applyBorder="1" applyAlignment="1">
      <alignment horizontal="left" vertical="center" wrapText="1"/>
    </xf>
    <xf numFmtId="0" fontId="3" fillId="0" borderId="7" xfId="96" applyFont="1" applyBorder="1" applyAlignment="1">
      <alignment horizontal="center" vertical="center" wrapText="1"/>
    </xf>
    <xf numFmtId="0" fontId="3" fillId="0" borderId="1" xfId="106" applyFont="1" applyBorder="1" applyAlignment="1">
      <alignment horizontal="center" vertical="center" wrapText="1"/>
    </xf>
    <xf numFmtId="0" fontId="3" fillId="0" borderId="1" xfId="106" applyFont="1" applyBorder="1" applyAlignment="1">
      <alignment horizontal="left" vertical="center" wrapText="1"/>
    </xf>
    <xf numFmtId="0" fontId="4" fillId="0" borderId="1" xfId="106" applyFont="1" applyBorder="1">
      <alignment vertical="center"/>
    </xf>
    <xf numFmtId="0" fontId="3" fillId="0" borderId="8" xfId="96" applyFont="1" applyBorder="1" applyAlignment="1">
      <alignment horizontal="center" vertical="center" wrapText="1"/>
    </xf>
    <xf numFmtId="0" fontId="3" fillId="0" borderId="9" xfId="96" applyFont="1" applyBorder="1" applyAlignment="1">
      <alignment horizontal="left" vertical="center" wrapText="1"/>
    </xf>
    <xf numFmtId="0" fontId="3" fillId="0" borderId="9" xfId="96" applyFont="1" applyBorder="1" applyAlignment="1">
      <alignment horizontal="center" vertical="center" wrapText="1"/>
    </xf>
    <xf numFmtId="0" fontId="3" fillId="0" borderId="1" xfId="96" applyFont="1" applyBorder="1" applyAlignment="1">
      <alignment horizontal="center" vertical="center" wrapText="1"/>
    </xf>
    <xf numFmtId="0" fontId="3" fillId="0" borderId="1" xfId="96" applyFont="1" applyBorder="1" applyAlignment="1">
      <alignment horizontal="left" vertical="center" wrapText="1"/>
    </xf>
    <xf numFmtId="0" fontId="3" fillId="0" borderId="1" xfId="89" applyFont="1" applyBorder="1" applyAlignment="1">
      <alignment horizontal="center" vertical="center" wrapText="1"/>
    </xf>
    <xf numFmtId="0" fontId="3" fillId="0" borderId="1" xfId="89" applyFont="1" applyBorder="1" applyAlignment="1">
      <alignment horizontal="left" vertical="center" wrapText="1"/>
    </xf>
    <xf numFmtId="0" fontId="0" fillId="0" borderId="1" xfId="106" applyBorder="1">
      <alignment vertical="center"/>
    </xf>
    <xf numFmtId="0" fontId="5" fillId="0" borderId="1" xfId="89" applyFont="1" applyBorder="1" applyAlignment="1">
      <alignment horizontal="left" vertical="center" wrapText="1"/>
    </xf>
    <xf numFmtId="0" fontId="6" fillId="0" borderId="1" xfId="89" applyFont="1" applyBorder="1" applyAlignment="1">
      <alignment horizontal="left" vertical="center" wrapText="1"/>
    </xf>
    <xf numFmtId="0" fontId="7" fillId="0" borderId="1" xfId="89" applyFont="1" applyBorder="1" applyAlignment="1">
      <alignment horizontal="left" vertical="center" wrapText="1"/>
    </xf>
    <xf numFmtId="0" fontId="3" fillId="2" borderId="1" xfId="89" applyFont="1" applyFill="1" applyBorder="1" applyAlignment="1">
      <alignment horizontal="left" vertical="center" wrapText="1"/>
    </xf>
    <xf numFmtId="0" fontId="3" fillId="0" borderId="1" xfId="91" applyFont="1" applyBorder="1" applyAlignment="1">
      <alignment horizontal="center" vertical="center" wrapText="1"/>
    </xf>
    <xf numFmtId="0" fontId="3" fillId="0" borderId="1" xfId="91" applyFont="1" applyBorder="1" applyAlignment="1">
      <alignment horizontal="left" vertical="center" wrapText="1"/>
    </xf>
    <xf numFmtId="0" fontId="3" fillId="0" borderId="1" xfId="93" applyFont="1" applyBorder="1" applyAlignment="1">
      <alignment horizontal="center" vertical="center" wrapText="1"/>
    </xf>
    <xf numFmtId="0" fontId="3" fillId="0" borderId="1" xfId="93" applyFont="1" applyBorder="1" applyAlignment="1">
      <alignment horizontal="left" vertical="center" wrapText="1"/>
    </xf>
    <xf numFmtId="0" fontId="3" fillId="3" borderId="1" xfId="93" applyFont="1" applyFill="1" applyBorder="1" applyAlignment="1">
      <alignment horizontal="center" vertical="center" wrapText="1"/>
    </xf>
    <xf numFmtId="0" fontId="3" fillId="2" borderId="1" xfId="93" applyFont="1" applyFill="1" applyBorder="1" applyAlignment="1">
      <alignment horizontal="left" vertical="center" wrapText="1"/>
    </xf>
    <xf numFmtId="0" fontId="0" fillId="0" borderId="1" xfId="106" applyBorder="1" applyAlignment="1">
      <alignment horizontal="center" vertical="center"/>
    </xf>
    <xf numFmtId="0" fontId="8" fillId="4" borderId="10" xfId="106" applyFont="1" applyFill="1" applyBorder="1" applyAlignment="1">
      <alignment vertical="center" wrapText="1"/>
    </xf>
    <xf numFmtId="0" fontId="8" fillId="4" borderId="10" xfId="106" applyFont="1" applyFill="1" applyBorder="1" applyAlignment="1">
      <alignment horizontal="center" vertical="center" wrapText="1"/>
    </xf>
    <xf numFmtId="0" fontId="8" fillId="4" borderId="0" xfId="106" applyFont="1" applyFill="1" applyAlignment="1">
      <alignment vertical="center" wrapText="1"/>
    </xf>
    <xf numFmtId="0" fontId="8" fillId="4" borderId="0" xfId="106" applyFont="1" applyFill="1" applyAlignment="1">
      <alignment horizontal="center" vertical="center" wrapText="1"/>
    </xf>
    <xf numFmtId="0" fontId="0" fillId="4" borderId="0" xfId="106" applyFill="1">
      <alignment vertical="center"/>
    </xf>
    <xf numFmtId="0" fontId="0" fillId="4" borderId="0" xfId="106" applyFill="1" applyAlignment="1">
      <alignment horizontal="center" vertical="center"/>
    </xf>
  </cellXfs>
  <cellStyles count="111">
    <cellStyle name="常规" xfId="0" builtinId="0"/>
    <cellStyle name="货币[0]" xfId="1" builtinId="7"/>
    <cellStyle name="货币" xfId="2" builtinId="4"/>
    <cellStyle name="常规 44" xfId="3"/>
    <cellStyle name="常规 39" xfId="4"/>
    <cellStyle name="20% - 强调文字颜色 3" xfId="5" builtinId="38"/>
    <cellStyle name="输入" xfId="6" builtinId="20"/>
    <cellStyle name="千位分隔[0]" xfId="7" builtinId="6"/>
    <cellStyle name="40% - 强调文字颜色 3" xfId="8" builtinId="39"/>
    <cellStyle name="差" xfId="9" builtinId="27"/>
    <cellStyle name="千位分隔" xfId="10" builtinId="3"/>
    <cellStyle name="60% - 强调文字颜色 3" xfId="11" builtinId="40"/>
    <cellStyle name="超链接" xfId="12" builtinId="8"/>
    <cellStyle name="百分比" xfId="13" builtinId="5"/>
    <cellStyle name="已访问的超链接" xfId="14" builtinId="9"/>
    <cellStyle name="注释" xfId="15" builtinId="10"/>
    <cellStyle name="常规 6" xfId="16"/>
    <cellStyle name="60% - 强调文字颜色 2" xfId="17" builtinId="36"/>
    <cellStyle name="标题 4" xfId="18" builtinId="19"/>
    <cellStyle name="警告文本" xfId="19" builtinId="11"/>
    <cellStyle name="标题" xfId="20" builtinId="15"/>
    <cellStyle name="常规 12" xfId="21"/>
    <cellStyle name="解释性文本" xfId="22" builtinId="53"/>
    <cellStyle name="标题 1" xfId="23" builtinId="16"/>
    <cellStyle name="标题 2" xfId="24" builtinId="17"/>
    <cellStyle name="60% - 强调文字颜色 1" xfId="25" builtinId="32"/>
    <cellStyle name="标题 3" xfId="26" builtinId="18"/>
    <cellStyle name="60% - 强调文字颜色 4" xfId="27" builtinId="44"/>
    <cellStyle name="输出" xfId="28" builtinId="21"/>
    <cellStyle name="计算" xfId="29" builtinId="22"/>
    <cellStyle name="常规 31" xfId="30"/>
    <cellStyle name="常规 26" xfId="31"/>
    <cellStyle name="检查单元格" xfId="32" builtinId="23"/>
    <cellStyle name="20% - 强调文字颜色 6" xfId="33" builtinId="50"/>
    <cellStyle name="强调文字颜色 2" xfId="34" builtinId="33"/>
    <cellStyle name="链接单元格" xfId="35" builtinId="24"/>
    <cellStyle name="汇总" xfId="36" builtinId="25"/>
    <cellStyle name="好" xfId="37" builtinId="26"/>
    <cellStyle name="常规 16" xfId="38"/>
    <cellStyle name="常规 21" xfId="39"/>
    <cellStyle name="适中" xfId="40" builtinId="28"/>
    <cellStyle name="20% - 强调文字颜色 5" xfId="41" builtinId="46"/>
    <cellStyle name="强调文字颜色 1" xfId="42" builtinId="29"/>
    <cellStyle name="20% - 强调文字颜色 1" xfId="43" builtinId="30"/>
    <cellStyle name="40% - 强调文字颜色 1" xfId="44" builtinId="31"/>
    <cellStyle name="20% - 强调文字颜色 2" xfId="45" builtinId="34"/>
    <cellStyle name="40% - 强调文字颜色 2" xfId="46" builtinId="35"/>
    <cellStyle name="强调文字颜色 3" xfId="47" builtinId="37"/>
    <cellStyle name="强调文字颜色 4" xfId="48" builtinId="41"/>
    <cellStyle name="20% - 强调文字颜色 4" xfId="49" builtinId="42"/>
    <cellStyle name="40% - 强调文字颜色 4" xfId="50" builtinId="43"/>
    <cellStyle name="强调文字颜色 5" xfId="51" builtinId="45"/>
    <cellStyle name="40% - 强调文字颜色 5" xfId="52" builtinId="47"/>
    <cellStyle name="60% - 强调文字颜色 5" xfId="53" builtinId="48"/>
    <cellStyle name="强调文字颜色 6" xfId="54" builtinId="49"/>
    <cellStyle name="常规 10" xfId="55"/>
    <cellStyle name="40% - 强调文字颜色 6" xfId="56" builtinId="51"/>
    <cellStyle name="60% - 强调文字颜色 6" xfId="57" builtinId="52"/>
    <cellStyle name="常规 11" xfId="58"/>
    <cellStyle name="常规 13" xfId="59"/>
    <cellStyle name="常规 14" xfId="60"/>
    <cellStyle name="常规 15" xfId="61"/>
    <cellStyle name="常规 20" xfId="62"/>
    <cellStyle name="常规 22" xfId="63"/>
    <cellStyle name="常规 17" xfId="64"/>
    <cellStyle name="常规 23" xfId="65"/>
    <cellStyle name="常规 18" xfId="66"/>
    <cellStyle name="常规 19" xfId="67"/>
    <cellStyle name="常规 24" xfId="68"/>
    <cellStyle name="常规 2" xfId="69"/>
    <cellStyle name="常规 25" xfId="70"/>
    <cellStyle name="常规 30" xfId="71"/>
    <cellStyle name="常规 27" xfId="72"/>
    <cellStyle name="常规 32" xfId="73"/>
    <cellStyle name="常规 28" xfId="74"/>
    <cellStyle name="常规 33" xfId="75"/>
    <cellStyle name="常规 29" xfId="76"/>
    <cellStyle name="常规 34" xfId="77"/>
    <cellStyle name="常规 3" xfId="78"/>
    <cellStyle name="常规 35" xfId="79"/>
    <cellStyle name="常规 40" xfId="80"/>
    <cellStyle name="常规 36" xfId="81"/>
    <cellStyle name="常规 41" xfId="82"/>
    <cellStyle name="常规 37" xfId="83"/>
    <cellStyle name="常规 42" xfId="84"/>
    <cellStyle name="常规 38" xfId="85"/>
    <cellStyle name="常规 43" xfId="86"/>
    <cellStyle name="常规 4" xfId="87"/>
    <cellStyle name="常规 45" xfId="88"/>
    <cellStyle name="常规 50" xfId="89"/>
    <cellStyle name="常规 46" xfId="90"/>
    <cellStyle name="常规 51" xfId="91"/>
    <cellStyle name="常规 47" xfId="92"/>
    <cellStyle name="常规 52" xfId="93"/>
    <cellStyle name="常规 48" xfId="94"/>
    <cellStyle name="常规 53" xfId="95"/>
    <cellStyle name="常规 49" xfId="96"/>
    <cellStyle name="常规 54" xfId="97"/>
    <cellStyle name="常规 5" xfId="98"/>
    <cellStyle name="常规 55" xfId="99"/>
    <cellStyle name="常规 60" xfId="100"/>
    <cellStyle name="常规 56" xfId="101"/>
    <cellStyle name="常规 61" xfId="102"/>
    <cellStyle name="常规 57" xfId="103"/>
    <cellStyle name="常规 62" xfId="104"/>
    <cellStyle name="常规 58" xfId="105"/>
    <cellStyle name="常规 63" xfId="106"/>
    <cellStyle name="常规 59" xfId="107"/>
    <cellStyle name="常规 7" xfId="108"/>
    <cellStyle name="常规 8" xfId="109"/>
    <cellStyle name="常规 9" xfId="110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3" Type="http://schemas.openxmlformats.org/officeDocument/2006/relationships/sharedStrings" Target="sharedStrings.xml"/><Relationship Id="rId72" Type="http://schemas.openxmlformats.org/officeDocument/2006/relationships/styles" Target="styles.xml"/><Relationship Id="rId71" Type="http://schemas.openxmlformats.org/officeDocument/2006/relationships/theme" Target="theme/theme1.xml"/><Relationship Id="rId70" Type="http://schemas.openxmlformats.org/officeDocument/2006/relationships/worksheet" Target="worksheets/sheet70.xml"/><Relationship Id="rId7" Type="http://schemas.openxmlformats.org/officeDocument/2006/relationships/worksheet" Target="worksheets/sheet7.xml"/><Relationship Id="rId69" Type="http://schemas.openxmlformats.org/officeDocument/2006/relationships/worksheet" Target="worksheets/sheet69.xml"/><Relationship Id="rId68" Type="http://schemas.openxmlformats.org/officeDocument/2006/relationships/worksheet" Target="worksheets/sheet68.xml"/><Relationship Id="rId67" Type="http://schemas.openxmlformats.org/officeDocument/2006/relationships/worksheet" Target="worksheets/sheet67.xml"/><Relationship Id="rId66" Type="http://schemas.openxmlformats.org/officeDocument/2006/relationships/worksheet" Target="worksheets/sheet66.xml"/><Relationship Id="rId65" Type="http://schemas.openxmlformats.org/officeDocument/2006/relationships/worksheet" Target="worksheets/sheet65.xml"/><Relationship Id="rId64" Type="http://schemas.openxmlformats.org/officeDocument/2006/relationships/worksheet" Target="worksheets/sheet64.xml"/><Relationship Id="rId63" Type="http://schemas.openxmlformats.org/officeDocument/2006/relationships/worksheet" Target="worksheets/sheet63.xml"/><Relationship Id="rId62" Type="http://schemas.openxmlformats.org/officeDocument/2006/relationships/worksheet" Target="worksheets/sheet62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F0"/>
  </sheetPr>
  <dimension ref="A1:N174"/>
  <sheetViews>
    <sheetView tabSelected="1" workbookViewId="0">
      <pane ySplit="2" topLeftCell="A3" activePane="bottomLeft" state="frozen"/>
      <selection/>
      <selection pane="bottomLeft" activeCell="B50" sqref="B50"/>
    </sheetView>
  </sheetViews>
  <sheetFormatPr defaultColWidth="9" defaultRowHeight="13.5"/>
  <cols>
    <col min="1" max="1" width="9" style="17"/>
    <col min="2" max="2" width="38.625" style="18" customWidth="1"/>
    <col min="3" max="3" width="6.375" style="17" customWidth="1"/>
    <col min="4" max="4" width="8.625" style="17" customWidth="1"/>
    <col min="5" max="6" width="8.625" style="18" customWidth="1"/>
    <col min="7" max="7" width="16" style="18" customWidth="1"/>
    <col min="8" max="8" width="9" style="18"/>
    <col min="9" max="9" width="11.875" style="18" customWidth="1"/>
    <col min="10" max="10" width="61.25" style="18" customWidth="1"/>
    <col min="11" max="11" width="89.375" style="18" customWidth="1"/>
    <col min="12" max="12" width="9" style="18"/>
    <col min="13" max="13" width="9" style="17"/>
    <col min="14" max="14" width="93.875" style="18" customWidth="1"/>
    <col min="15" max="16384" width="9" style="18"/>
  </cols>
  <sheetData>
    <row r="1" ht="25.5" customHeight="1" spans="1:7">
      <c r="A1" s="19" t="s">
        <v>0</v>
      </c>
      <c r="B1" s="20"/>
      <c r="C1" s="20"/>
      <c r="D1" s="20"/>
      <c r="E1" s="20"/>
      <c r="F1" s="20"/>
      <c r="G1" s="18" t="s">
        <v>1</v>
      </c>
    </row>
    <row r="2" ht="21.75" customHeight="1" spans="1:7">
      <c r="A2" s="21" t="s">
        <v>2</v>
      </c>
      <c r="B2" s="21" t="s">
        <v>3</v>
      </c>
      <c r="C2" s="21" t="s">
        <v>4</v>
      </c>
      <c r="D2" s="21" t="s">
        <v>5</v>
      </c>
      <c r="E2" s="21" t="s">
        <v>6</v>
      </c>
      <c r="F2" s="21" t="s">
        <v>7</v>
      </c>
      <c r="G2" s="22" t="s">
        <v>8</v>
      </c>
    </row>
    <row r="3" ht="21.75" customHeight="1" spans="1:6">
      <c r="A3" s="23" t="s">
        <v>9</v>
      </c>
      <c r="B3" s="24" t="s">
        <v>10</v>
      </c>
      <c r="C3" s="25"/>
      <c r="D3" s="26"/>
      <c r="E3" s="27"/>
      <c r="F3" s="28"/>
    </row>
    <row r="4" ht="21.75" customHeight="1" spans="1:6">
      <c r="A4" s="29" t="s">
        <v>11</v>
      </c>
      <c r="B4" s="30" t="s">
        <v>12</v>
      </c>
      <c r="C4" s="31"/>
      <c r="D4" s="26"/>
      <c r="E4" s="27"/>
      <c r="F4" s="28"/>
    </row>
    <row r="5" ht="21.75" customHeight="1" spans="1:7">
      <c r="A5" s="32" t="s">
        <v>13</v>
      </c>
      <c r="B5" s="33" t="s">
        <v>14</v>
      </c>
      <c r="C5" s="32" t="s">
        <v>15</v>
      </c>
      <c r="D5" s="26">
        <f>G5</f>
        <v>2196</v>
      </c>
      <c r="E5" s="27"/>
      <c r="F5" s="28"/>
      <c r="G5" s="18">
        <v>2196</v>
      </c>
    </row>
    <row r="6" ht="21.75" customHeight="1" spans="1:7">
      <c r="A6" s="32" t="s">
        <v>16</v>
      </c>
      <c r="B6" s="33" t="s">
        <v>17</v>
      </c>
      <c r="C6" s="32" t="s">
        <v>15</v>
      </c>
      <c r="D6" s="26">
        <f t="shared" ref="D6:D43" si="0">G6</f>
        <v>673</v>
      </c>
      <c r="E6" s="27"/>
      <c r="F6" s="28"/>
      <c r="G6" s="18">
        <v>673</v>
      </c>
    </row>
    <row r="7" ht="21.75" customHeight="1" spans="1:7">
      <c r="A7" s="32" t="s">
        <v>18</v>
      </c>
      <c r="B7" s="33" t="s">
        <v>19</v>
      </c>
      <c r="C7" s="32" t="s">
        <v>15</v>
      </c>
      <c r="D7" s="26">
        <f t="shared" si="0"/>
        <v>4556</v>
      </c>
      <c r="E7" s="27"/>
      <c r="F7" s="28"/>
      <c r="G7" s="18">
        <v>4556</v>
      </c>
    </row>
    <row r="8" ht="21.75" customHeight="1" spans="1:7">
      <c r="A8" s="32" t="s">
        <v>20</v>
      </c>
      <c r="B8" s="33" t="s">
        <v>21</v>
      </c>
      <c r="C8" s="32" t="s">
        <v>15</v>
      </c>
      <c r="D8" s="26">
        <f t="shared" si="0"/>
        <v>460</v>
      </c>
      <c r="E8" s="27"/>
      <c r="F8" s="28"/>
      <c r="G8" s="18">
        <v>460</v>
      </c>
    </row>
    <row r="9" ht="21.75" customHeight="1" spans="1:7">
      <c r="A9" s="32" t="s">
        <v>22</v>
      </c>
      <c r="B9" s="33" t="s">
        <v>23</v>
      </c>
      <c r="C9" s="34" t="s">
        <v>15</v>
      </c>
      <c r="D9" s="26">
        <f t="shared" si="0"/>
        <v>14</v>
      </c>
      <c r="E9" s="27"/>
      <c r="F9" s="28"/>
      <c r="G9" s="18">
        <v>14</v>
      </c>
    </row>
    <row r="10" ht="21.75" customHeight="1" spans="1:7">
      <c r="A10" s="32" t="s">
        <v>24</v>
      </c>
      <c r="B10" s="33" t="s">
        <v>25</v>
      </c>
      <c r="C10" s="34" t="s">
        <v>15</v>
      </c>
      <c r="D10" s="26">
        <f t="shared" si="0"/>
        <v>350</v>
      </c>
      <c r="E10" s="27"/>
      <c r="F10" s="28"/>
      <c r="G10" s="18">
        <v>350</v>
      </c>
    </row>
    <row r="11" ht="21.75" customHeight="1" spans="1:7">
      <c r="A11" s="32" t="s">
        <v>26</v>
      </c>
      <c r="B11" s="33" t="s">
        <v>27</v>
      </c>
      <c r="C11" s="34" t="s">
        <v>15</v>
      </c>
      <c r="D11" s="26">
        <f t="shared" si="0"/>
        <v>126</v>
      </c>
      <c r="E11" s="27"/>
      <c r="F11" s="28"/>
      <c r="G11" s="18">
        <v>126</v>
      </c>
    </row>
    <row r="12" ht="21.75" customHeight="1" spans="1:7">
      <c r="A12" s="32" t="s">
        <v>28</v>
      </c>
      <c r="B12" s="33" t="s">
        <v>29</v>
      </c>
      <c r="C12" s="34" t="s">
        <v>15</v>
      </c>
      <c r="D12" s="26">
        <f t="shared" si="0"/>
        <v>60</v>
      </c>
      <c r="E12" s="27"/>
      <c r="F12" s="28"/>
      <c r="G12" s="18">
        <v>60</v>
      </c>
    </row>
    <row r="13" ht="21.75" customHeight="1" spans="1:7">
      <c r="A13" s="32" t="s">
        <v>30</v>
      </c>
      <c r="B13" s="33" t="s">
        <v>31</v>
      </c>
      <c r="C13" s="34" t="s">
        <v>15</v>
      </c>
      <c r="D13" s="26">
        <f t="shared" si="0"/>
        <v>84</v>
      </c>
      <c r="E13" s="27"/>
      <c r="F13" s="28"/>
      <c r="G13" s="18">
        <v>84</v>
      </c>
    </row>
    <row r="14" ht="21.75" customHeight="1" spans="1:7">
      <c r="A14" s="32" t="s">
        <v>32</v>
      </c>
      <c r="B14" s="33" t="s">
        <v>33</v>
      </c>
      <c r="C14" s="34" t="s">
        <v>15</v>
      </c>
      <c r="D14" s="26">
        <f t="shared" si="0"/>
        <v>156</v>
      </c>
      <c r="E14" s="27"/>
      <c r="F14" s="28"/>
      <c r="G14" s="18">
        <v>156</v>
      </c>
    </row>
    <row r="15" ht="21.75" customHeight="1" spans="1:7">
      <c r="A15" s="32" t="s">
        <v>34</v>
      </c>
      <c r="B15" s="33" t="s">
        <v>35</v>
      </c>
      <c r="C15" s="34" t="s">
        <v>36</v>
      </c>
      <c r="D15" s="26">
        <f t="shared" si="0"/>
        <v>1</v>
      </c>
      <c r="E15" s="27"/>
      <c r="F15" s="28"/>
      <c r="G15" s="18">
        <v>1</v>
      </c>
    </row>
    <row r="16" ht="21.75" customHeight="1" spans="1:6">
      <c r="A16" s="34" t="s">
        <v>37</v>
      </c>
      <c r="B16" s="35" t="s">
        <v>38</v>
      </c>
      <c r="C16" s="34"/>
      <c r="D16" s="26"/>
      <c r="E16" s="27"/>
      <c r="F16" s="28"/>
    </row>
    <row r="17" ht="21.75" customHeight="1" spans="1:7">
      <c r="A17" s="34" t="s">
        <v>39</v>
      </c>
      <c r="B17" s="33" t="s">
        <v>40</v>
      </c>
      <c r="C17" s="32" t="s">
        <v>15</v>
      </c>
      <c r="D17" s="26">
        <f>G17</f>
        <v>624</v>
      </c>
      <c r="E17" s="27"/>
      <c r="F17" s="28"/>
      <c r="G17" s="18">
        <v>624</v>
      </c>
    </row>
    <row r="18" ht="21.75" customHeight="1" spans="1:7">
      <c r="A18" s="34" t="s">
        <v>41</v>
      </c>
      <c r="B18" s="33" t="s">
        <v>42</v>
      </c>
      <c r="C18" s="34" t="s">
        <v>15</v>
      </c>
      <c r="D18" s="26">
        <f>G18</f>
        <v>80</v>
      </c>
      <c r="E18" s="27"/>
      <c r="F18" s="28"/>
      <c r="G18" s="18">
        <v>80</v>
      </c>
    </row>
    <row r="19" ht="21.75" customHeight="1" spans="1:6">
      <c r="A19" s="34" t="s">
        <v>43</v>
      </c>
      <c r="B19" s="35" t="s">
        <v>44</v>
      </c>
      <c r="C19" s="34"/>
      <c r="D19" s="26"/>
      <c r="E19" s="27"/>
      <c r="F19" s="28"/>
    </row>
    <row r="20" ht="21.75" customHeight="1" spans="1:7">
      <c r="A20" s="34" t="s">
        <v>45</v>
      </c>
      <c r="B20" s="35" t="s">
        <v>46</v>
      </c>
      <c r="C20" s="34" t="s">
        <v>36</v>
      </c>
      <c r="D20" s="26">
        <f t="shared" si="0"/>
        <v>34</v>
      </c>
      <c r="E20" s="36"/>
      <c r="F20" s="36"/>
      <c r="G20" s="18">
        <v>34</v>
      </c>
    </row>
    <row r="21" ht="21.75" customHeight="1" spans="1:7">
      <c r="A21" s="34" t="s">
        <v>47</v>
      </c>
      <c r="B21" s="35" t="s">
        <v>48</v>
      </c>
      <c r="C21" s="34" t="s">
        <v>36</v>
      </c>
      <c r="D21" s="26">
        <f t="shared" si="0"/>
        <v>47</v>
      </c>
      <c r="E21" s="36"/>
      <c r="F21" s="36"/>
      <c r="G21" s="18">
        <v>47</v>
      </c>
    </row>
    <row r="22" ht="21.75" customHeight="1" spans="1:7">
      <c r="A22" s="34" t="s">
        <v>49</v>
      </c>
      <c r="B22" s="35" t="s">
        <v>50</v>
      </c>
      <c r="C22" s="34" t="s">
        <v>36</v>
      </c>
      <c r="D22" s="26">
        <f t="shared" si="0"/>
        <v>3</v>
      </c>
      <c r="E22" s="36"/>
      <c r="F22" s="36"/>
      <c r="G22" s="18">
        <v>3</v>
      </c>
    </row>
    <row r="23" ht="21.75" customHeight="1" spans="1:6">
      <c r="A23" s="34" t="s">
        <v>51</v>
      </c>
      <c r="B23" s="35" t="s">
        <v>52</v>
      </c>
      <c r="C23" s="34"/>
      <c r="D23" s="26"/>
      <c r="E23" s="36"/>
      <c r="F23" s="36"/>
    </row>
    <row r="24" ht="21.75" customHeight="1" spans="1:6">
      <c r="A24" s="34" t="s">
        <v>53</v>
      </c>
      <c r="B24" s="35" t="s">
        <v>54</v>
      </c>
      <c r="C24" s="34"/>
      <c r="D24" s="26"/>
      <c r="E24" s="36"/>
      <c r="F24" s="36"/>
    </row>
    <row r="25" ht="21.75" customHeight="1" spans="1:7">
      <c r="A25" s="34" t="s">
        <v>55</v>
      </c>
      <c r="B25" s="37" t="s">
        <v>56</v>
      </c>
      <c r="C25" s="34" t="s">
        <v>57</v>
      </c>
      <c r="D25" s="26">
        <f t="shared" si="0"/>
        <v>2</v>
      </c>
      <c r="E25" s="36"/>
      <c r="F25" s="36"/>
      <c r="G25" s="18">
        <v>2</v>
      </c>
    </row>
    <row r="26" ht="21.75" customHeight="1" spans="1:7">
      <c r="A26" s="34" t="s">
        <v>58</v>
      </c>
      <c r="B26" s="37" t="s">
        <v>59</v>
      </c>
      <c r="C26" s="34" t="s">
        <v>57</v>
      </c>
      <c r="D26" s="26">
        <f t="shared" si="0"/>
        <v>2</v>
      </c>
      <c r="E26" s="36"/>
      <c r="F26" s="36"/>
      <c r="G26" s="18">
        <v>2</v>
      </c>
    </row>
    <row r="27" ht="21.75" customHeight="1" spans="1:7">
      <c r="A27" s="34" t="s">
        <v>60</v>
      </c>
      <c r="B27" s="37" t="s">
        <v>61</v>
      </c>
      <c r="C27" s="34" t="s">
        <v>57</v>
      </c>
      <c r="D27" s="26">
        <f t="shared" si="0"/>
        <v>6</v>
      </c>
      <c r="E27" s="36"/>
      <c r="F27" s="36"/>
      <c r="G27" s="18">
        <v>6</v>
      </c>
    </row>
    <row r="28" ht="21.75" customHeight="1" spans="1:7">
      <c r="A28" s="34" t="s">
        <v>62</v>
      </c>
      <c r="B28" s="37" t="s">
        <v>63</v>
      </c>
      <c r="C28" s="34" t="s">
        <v>57</v>
      </c>
      <c r="D28" s="26">
        <f t="shared" si="0"/>
        <v>1</v>
      </c>
      <c r="E28" s="36"/>
      <c r="F28" s="36"/>
      <c r="G28" s="18">
        <v>1</v>
      </c>
    </row>
    <row r="29" ht="21.75" customHeight="1" spans="1:7">
      <c r="A29" s="34" t="s">
        <v>64</v>
      </c>
      <c r="B29" s="37" t="s">
        <v>65</v>
      </c>
      <c r="C29" s="34" t="s">
        <v>57</v>
      </c>
      <c r="D29" s="26">
        <f t="shared" si="0"/>
        <v>1</v>
      </c>
      <c r="E29" s="36"/>
      <c r="F29" s="36"/>
      <c r="G29" s="18">
        <v>1</v>
      </c>
    </row>
    <row r="30" ht="21.75" customHeight="1" spans="1:7">
      <c r="A30" s="34" t="s">
        <v>66</v>
      </c>
      <c r="B30" s="37" t="s">
        <v>67</v>
      </c>
      <c r="C30" s="34" t="s">
        <v>57</v>
      </c>
      <c r="D30" s="26">
        <f t="shared" si="0"/>
        <v>4</v>
      </c>
      <c r="E30" s="36"/>
      <c r="F30" s="36"/>
      <c r="G30" s="18">
        <v>4</v>
      </c>
    </row>
    <row r="31" ht="21.75" customHeight="1" spans="1:7">
      <c r="A31" s="34" t="s">
        <v>68</v>
      </c>
      <c r="B31" s="37" t="s">
        <v>69</v>
      </c>
      <c r="C31" s="34" t="s">
        <v>57</v>
      </c>
      <c r="D31" s="26">
        <f t="shared" si="0"/>
        <v>16</v>
      </c>
      <c r="E31" s="36"/>
      <c r="F31" s="36"/>
      <c r="G31" s="18">
        <v>16</v>
      </c>
    </row>
    <row r="32" ht="21.75" customHeight="1" spans="1:7">
      <c r="A32" s="34" t="s">
        <v>70</v>
      </c>
      <c r="B32" s="37" t="s">
        <v>71</v>
      </c>
      <c r="C32" s="34" t="s">
        <v>57</v>
      </c>
      <c r="D32" s="26">
        <f t="shared" si="0"/>
        <v>16</v>
      </c>
      <c r="E32" s="36"/>
      <c r="F32" s="36"/>
      <c r="G32" s="18">
        <v>16</v>
      </c>
    </row>
    <row r="33" ht="21.75" customHeight="1" spans="1:7">
      <c r="A33" s="34" t="s">
        <v>72</v>
      </c>
      <c r="B33" s="37" t="s">
        <v>73</v>
      </c>
      <c r="C33" s="34" t="s">
        <v>57</v>
      </c>
      <c r="D33" s="26">
        <f t="shared" si="0"/>
        <v>7</v>
      </c>
      <c r="E33" s="36"/>
      <c r="F33" s="36"/>
      <c r="G33" s="18">
        <v>7</v>
      </c>
    </row>
    <row r="34" ht="21.75" customHeight="1" spans="1:7">
      <c r="A34" s="34" t="s">
        <v>74</v>
      </c>
      <c r="B34" s="37" t="s">
        <v>75</v>
      </c>
      <c r="C34" s="34" t="s">
        <v>57</v>
      </c>
      <c r="D34" s="26">
        <f t="shared" si="0"/>
        <v>2</v>
      </c>
      <c r="E34" s="36"/>
      <c r="F34" s="36"/>
      <c r="G34" s="18">
        <v>2</v>
      </c>
    </row>
    <row r="35" ht="21.75" customHeight="1" spans="1:7">
      <c r="A35" s="34" t="s">
        <v>76</v>
      </c>
      <c r="B35" s="37" t="s">
        <v>77</v>
      </c>
      <c r="C35" s="34" t="s">
        <v>57</v>
      </c>
      <c r="D35" s="26">
        <f t="shared" si="0"/>
        <v>1</v>
      </c>
      <c r="E35" s="36"/>
      <c r="F35" s="36"/>
      <c r="G35" s="18">
        <v>1</v>
      </c>
    </row>
    <row r="36" ht="21.75" customHeight="1" spans="1:6">
      <c r="A36" s="34" t="s">
        <v>78</v>
      </c>
      <c r="B36" s="38" t="s">
        <v>79</v>
      </c>
      <c r="C36" s="34"/>
      <c r="D36" s="26"/>
      <c r="E36" s="36"/>
      <c r="F36" s="36"/>
    </row>
    <row r="37" ht="21.75" customHeight="1" spans="1:7">
      <c r="A37" s="34" t="s">
        <v>80</v>
      </c>
      <c r="B37" s="38" t="s">
        <v>81</v>
      </c>
      <c r="C37" s="34" t="s">
        <v>57</v>
      </c>
      <c r="D37" s="26">
        <f t="shared" si="0"/>
        <v>2</v>
      </c>
      <c r="E37" s="36"/>
      <c r="F37" s="36"/>
      <c r="G37" s="18">
        <v>2</v>
      </c>
    </row>
    <row r="38" ht="21.75" customHeight="1" spans="1:7">
      <c r="A38" s="34" t="s">
        <v>82</v>
      </c>
      <c r="B38" s="39" t="s">
        <v>83</v>
      </c>
      <c r="C38" s="34" t="s">
        <v>57</v>
      </c>
      <c r="D38" s="26">
        <f t="shared" si="0"/>
        <v>1</v>
      </c>
      <c r="E38" s="36"/>
      <c r="F38" s="36"/>
      <c r="G38" s="18">
        <v>1</v>
      </c>
    </row>
    <row r="39" ht="21.75" customHeight="1" spans="1:7">
      <c r="A39" s="34" t="s">
        <v>84</v>
      </c>
      <c r="B39" s="38" t="s">
        <v>85</v>
      </c>
      <c r="C39" s="34" t="s">
        <v>57</v>
      </c>
      <c r="D39" s="26">
        <f t="shared" si="0"/>
        <v>1</v>
      </c>
      <c r="E39" s="36"/>
      <c r="F39" s="36"/>
      <c r="G39" s="18">
        <v>1</v>
      </c>
    </row>
    <row r="40" ht="21.75" customHeight="1" spans="1:6">
      <c r="A40" s="34" t="s">
        <v>86</v>
      </c>
      <c r="B40" s="35" t="s">
        <v>87</v>
      </c>
      <c r="C40" s="34"/>
      <c r="D40" s="26"/>
      <c r="E40" s="36"/>
      <c r="F40" s="36"/>
    </row>
    <row r="41" ht="21.75" customHeight="1" spans="1:7">
      <c r="A41" s="34" t="s">
        <v>88</v>
      </c>
      <c r="B41" s="37" t="s">
        <v>89</v>
      </c>
      <c r="C41" s="34" t="s">
        <v>57</v>
      </c>
      <c r="D41" s="26">
        <f t="shared" si="0"/>
        <v>2</v>
      </c>
      <c r="E41" s="36"/>
      <c r="F41" s="36"/>
      <c r="G41" s="18">
        <v>2</v>
      </c>
    </row>
    <row r="42" ht="21.75" customHeight="1" spans="1:7">
      <c r="A42" s="34" t="s">
        <v>90</v>
      </c>
      <c r="B42" s="37" t="s">
        <v>91</v>
      </c>
      <c r="C42" s="34" t="s">
        <v>57</v>
      </c>
      <c r="D42" s="26">
        <f t="shared" si="0"/>
        <v>4</v>
      </c>
      <c r="E42" s="36"/>
      <c r="F42" s="36"/>
      <c r="G42" s="18">
        <v>4</v>
      </c>
    </row>
    <row r="43" ht="21.75" customHeight="1" spans="1:7">
      <c r="A43" s="34" t="s">
        <v>92</v>
      </c>
      <c r="B43" s="37" t="s">
        <v>93</v>
      </c>
      <c r="C43" s="34" t="s">
        <v>57</v>
      </c>
      <c r="D43" s="26">
        <f t="shared" si="0"/>
        <v>13</v>
      </c>
      <c r="E43" s="36"/>
      <c r="F43" s="36"/>
      <c r="G43" s="18">
        <v>13</v>
      </c>
    </row>
    <row r="44" ht="21.75" customHeight="1" spans="1:7">
      <c r="A44" s="34" t="s">
        <v>94</v>
      </c>
      <c r="B44" s="37" t="s">
        <v>95</v>
      </c>
      <c r="C44" s="34" t="s">
        <v>57</v>
      </c>
      <c r="D44" s="26">
        <f t="shared" ref="D44:D96" si="1">G44</f>
        <v>1</v>
      </c>
      <c r="E44" s="36"/>
      <c r="F44" s="36"/>
      <c r="G44" s="18">
        <v>1</v>
      </c>
    </row>
    <row r="45" ht="21.75" customHeight="1" spans="1:7">
      <c r="A45" s="34" t="s">
        <v>96</v>
      </c>
      <c r="B45" s="37" t="s">
        <v>97</v>
      </c>
      <c r="C45" s="34" t="s">
        <v>57</v>
      </c>
      <c r="D45" s="26">
        <f t="shared" si="1"/>
        <v>8</v>
      </c>
      <c r="E45" s="36"/>
      <c r="F45" s="36"/>
      <c r="G45" s="18">
        <v>8</v>
      </c>
    </row>
    <row r="46" ht="21.75" customHeight="1" spans="1:7">
      <c r="A46" s="34" t="s">
        <v>98</v>
      </c>
      <c r="B46" s="37" t="s">
        <v>99</v>
      </c>
      <c r="C46" s="34" t="s">
        <v>57</v>
      </c>
      <c r="D46" s="26">
        <f t="shared" si="1"/>
        <v>6</v>
      </c>
      <c r="E46" s="36"/>
      <c r="F46" s="36"/>
      <c r="G46" s="18">
        <v>6</v>
      </c>
    </row>
    <row r="47" ht="21.75" customHeight="1" spans="1:6">
      <c r="A47" s="34" t="s">
        <v>100</v>
      </c>
      <c r="B47" s="35" t="s">
        <v>101</v>
      </c>
      <c r="C47" s="34"/>
      <c r="D47" s="26"/>
      <c r="E47" s="36"/>
      <c r="F47" s="36"/>
    </row>
    <row r="48" ht="21.75" customHeight="1" spans="1:7">
      <c r="A48" s="34" t="s">
        <v>102</v>
      </c>
      <c r="B48" s="37" t="s">
        <v>103</v>
      </c>
      <c r="C48" s="34" t="s">
        <v>57</v>
      </c>
      <c r="D48" s="26">
        <f t="shared" si="1"/>
        <v>1</v>
      </c>
      <c r="E48" s="36"/>
      <c r="F48" s="36"/>
      <c r="G48" s="18">
        <v>1</v>
      </c>
    </row>
    <row r="49" ht="21.75" customHeight="1" spans="1:6">
      <c r="A49" s="34" t="s">
        <v>104</v>
      </c>
      <c r="B49" s="35" t="s">
        <v>105</v>
      </c>
      <c r="C49" s="34"/>
      <c r="D49" s="26"/>
      <c r="E49" s="36"/>
      <c r="F49" s="36"/>
    </row>
    <row r="50" ht="21.75" customHeight="1" spans="1:7">
      <c r="A50" s="34" t="s">
        <v>106</v>
      </c>
      <c r="B50" s="40" t="s">
        <v>107</v>
      </c>
      <c r="C50" s="34" t="s">
        <v>57</v>
      </c>
      <c r="D50" s="26">
        <f t="shared" si="1"/>
        <v>7</v>
      </c>
      <c r="E50" s="36"/>
      <c r="F50" s="36"/>
      <c r="G50" s="18">
        <v>7</v>
      </c>
    </row>
    <row r="51" ht="21.75" customHeight="1" spans="1:7">
      <c r="A51" s="34" t="s">
        <v>108</v>
      </c>
      <c r="B51" s="35" t="s">
        <v>109</v>
      </c>
      <c r="C51" s="34" t="s">
        <v>57</v>
      </c>
      <c r="D51" s="26">
        <f t="shared" si="1"/>
        <v>3</v>
      </c>
      <c r="E51" s="36"/>
      <c r="F51" s="36"/>
      <c r="G51" s="18">
        <v>3</v>
      </c>
    </row>
    <row r="52" ht="21.75" customHeight="1" spans="1:6">
      <c r="A52" s="34" t="s">
        <v>110</v>
      </c>
      <c r="B52" s="35" t="s">
        <v>111</v>
      </c>
      <c r="C52" s="34"/>
      <c r="D52" s="26"/>
      <c r="E52" s="36"/>
      <c r="F52" s="36"/>
    </row>
    <row r="53" ht="21.75" customHeight="1" spans="1:7">
      <c r="A53" s="34" t="s">
        <v>112</v>
      </c>
      <c r="B53" s="35" t="s">
        <v>113</v>
      </c>
      <c r="C53" s="34" t="s">
        <v>36</v>
      </c>
      <c r="D53" s="26">
        <f t="shared" si="1"/>
        <v>2</v>
      </c>
      <c r="E53" s="36"/>
      <c r="F53" s="36"/>
      <c r="G53" s="18">
        <v>2</v>
      </c>
    </row>
    <row r="54" ht="21.75" customHeight="1" spans="1:7">
      <c r="A54" s="34" t="s">
        <v>114</v>
      </c>
      <c r="B54" s="35" t="s">
        <v>115</v>
      </c>
      <c r="C54" s="34" t="s">
        <v>36</v>
      </c>
      <c r="D54" s="26">
        <f t="shared" si="1"/>
        <v>4</v>
      </c>
      <c r="E54" s="36"/>
      <c r="F54" s="36"/>
      <c r="G54" s="18">
        <v>4</v>
      </c>
    </row>
    <row r="55" ht="21.75" customHeight="1" spans="1:7">
      <c r="A55" s="34" t="s">
        <v>116</v>
      </c>
      <c r="B55" s="35" t="s">
        <v>117</v>
      </c>
      <c r="C55" s="34" t="s">
        <v>36</v>
      </c>
      <c r="D55" s="26">
        <f t="shared" si="1"/>
        <v>25</v>
      </c>
      <c r="E55" s="36"/>
      <c r="F55" s="36"/>
      <c r="G55" s="18">
        <v>25</v>
      </c>
    </row>
    <row r="56" ht="21.75" customHeight="1" spans="1:6">
      <c r="A56" s="41" t="s">
        <v>118</v>
      </c>
      <c r="B56" s="42" t="s">
        <v>119</v>
      </c>
      <c r="C56" s="41"/>
      <c r="D56" s="26"/>
      <c r="E56" s="36"/>
      <c r="F56" s="36"/>
    </row>
    <row r="57" ht="21.75" customHeight="1" spans="1:7">
      <c r="A57" s="41" t="s">
        <v>120</v>
      </c>
      <c r="B57" s="42" t="s">
        <v>121</v>
      </c>
      <c r="C57" s="41" t="s">
        <v>36</v>
      </c>
      <c r="D57" s="26">
        <f t="shared" si="1"/>
        <v>30</v>
      </c>
      <c r="E57" s="36"/>
      <c r="F57" s="36"/>
      <c r="G57" s="18">
        <v>30</v>
      </c>
    </row>
    <row r="58" ht="21.75" customHeight="1" spans="1:7">
      <c r="A58" s="41" t="s">
        <v>122</v>
      </c>
      <c r="B58" s="42" t="s">
        <v>123</v>
      </c>
      <c r="C58" s="41" t="s">
        <v>36</v>
      </c>
      <c r="D58" s="26">
        <f t="shared" si="1"/>
        <v>28</v>
      </c>
      <c r="E58" s="36"/>
      <c r="F58" s="36"/>
      <c r="G58" s="18">
        <v>28</v>
      </c>
    </row>
    <row r="59" ht="21.75" customHeight="1" spans="1:7">
      <c r="A59" s="41" t="s">
        <v>124</v>
      </c>
      <c r="B59" s="42" t="s">
        <v>125</v>
      </c>
      <c r="C59" s="41" t="s">
        <v>36</v>
      </c>
      <c r="D59" s="26">
        <f t="shared" si="1"/>
        <v>30</v>
      </c>
      <c r="E59" s="36"/>
      <c r="F59" s="36"/>
      <c r="G59" s="18">
        <v>30</v>
      </c>
    </row>
    <row r="60" ht="21.75" customHeight="1" spans="1:7">
      <c r="A60" s="41" t="s">
        <v>126</v>
      </c>
      <c r="B60" s="42" t="s">
        <v>127</v>
      </c>
      <c r="C60" s="41" t="s">
        <v>36</v>
      </c>
      <c r="D60" s="26">
        <f t="shared" si="1"/>
        <v>1</v>
      </c>
      <c r="E60" s="36"/>
      <c r="F60" s="36"/>
      <c r="G60" s="18">
        <v>1</v>
      </c>
    </row>
    <row r="61" ht="21.75" customHeight="1" spans="1:7">
      <c r="A61" s="41" t="s">
        <v>128</v>
      </c>
      <c r="B61" s="42" t="s">
        <v>129</v>
      </c>
      <c r="C61" s="41" t="s">
        <v>15</v>
      </c>
      <c r="D61" s="26">
        <f t="shared" si="1"/>
        <v>500</v>
      </c>
      <c r="E61" s="36"/>
      <c r="F61" s="36"/>
      <c r="G61" s="18">
        <v>500</v>
      </c>
    </row>
    <row r="62" ht="21.75" customHeight="1" spans="1:6">
      <c r="A62" s="41" t="s">
        <v>130</v>
      </c>
      <c r="B62" s="42" t="s">
        <v>131</v>
      </c>
      <c r="C62" s="41"/>
      <c r="D62" s="26"/>
      <c r="E62" s="36"/>
      <c r="F62" s="36"/>
    </row>
    <row r="63" ht="21.75" customHeight="1" spans="1:6">
      <c r="A63" s="41" t="s">
        <v>132</v>
      </c>
      <c r="B63" s="42" t="s">
        <v>133</v>
      </c>
      <c r="C63" s="41"/>
      <c r="D63" s="26"/>
      <c r="E63" s="36"/>
      <c r="F63" s="36"/>
    </row>
    <row r="64" ht="21.75" customHeight="1" spans="1:7">
      <c r="A64" s="41" t="s">
        <v>134</v>
      </c>
      <c r="B64" s="42" t="s">
        <v>135</v>
      </c>
      <c r="C64" s="41" t="s">
        <v>136</v>
      </c>
      <c r="D64" s="26">
        <f t="shared" si="1"/>
        <v>1464</v>
      </c>
      <c r="E64" s="36"/>
      <c r="F64" s="36"/>
      <c r="G64" s="18">
        <v>1464</v>
      </c>
    </row>
    <row r="65" ht="21.75" customHeight="1" spans="1:7">
      <c r="A65" s="41" t="s">
        <v>137</v>
      </c>
      <c r="B65" s="42" t="s">
        <v>138</v>
      </c>
      <c r="C65" s="41" t="s">
        <v>136</v>
      </c>
      <c r="D65" s="26">
        <f t="shared" si="1"/>
        <v>1550</v>
      </c>
      <c r="E65" s="36"/>
      <c r="F65" s="36"/>
      <c r="G65" s="18">
        <v>1550</v>
      </c>
    </row>
    <row r="66" ht="21.75" customHeight="1" spans="1:7">
      <c r="A66" s="41" t="s">
        <v>139</v>
      </c>
      <c r="B66" s="42" t="s">
        <v>140</v>
      </c>
      <c r="C66" s="41" t="s">
        <v>136</v>
      </c>
      <c r="D66" s="26">
        <f t="shared" si="1"/>
        <v>1550</v>
      </c>
      <c r="E66" s="36"/>
      <c r="F66" s="36"/>
      <c r="G66" s="18">
        <v>1550</v>
      </c>
    </row>
    <row r="67" ht="21.75" customHeight="1" spans="1:7">
      <c r="A67" s="41" t="s">
        <v>141</v>
      </c>
      <c r="B67" s="42" t="s">
        <v>142</v>
      </c>
      <c r="C67" s="41" t="s">
        <v>136</v>
      </c>
      <c r="D67" s="26">
        <f t="shared" si="1"/>
        <v>643</v>
      </c>
      <c r="E67" s="36"/>
      <c r="F67" s="36"/>
      <c r="G67" s="18">
        <v>643</v>
      </c>
    </row>
    <row r="68" ht="21.75" customHeight="1" spans="1:7">
      <c r="A68" s="41" t="s">
        <v>143</v>
      </c>
      <c r="B68" s="42" t="s">
        <v>144</v>
      </c>
      <c r="C68" s="41" t="s">
        <v>136</v>
      </c>
      <c r="D68" s="26">
        <f t="shared" si="1"/>
        <v>342</v>
      </c>
      <c r="E68" s="36"/>
      <c r="F68" s="36"/>
      <c r="G68" s="18">
        <v>342</v>
      </c>
    </row>
    <row r="69" ht="21.75" customHeight="1" spans="1:7">
      <c r="A69" s="41" t="s">
        <v>145</v>
      </c>
      <c r="B69" s="42" t="s">
        <v>146</v>
      </c>
      <c r="C69" s="41" t="s">
        <v>136</v>
      </c>
      <c r="D69" s="26">
        <f t="shared" si="1"/>
        <v>3375</v>
      </c>
      <c r="E69" s="36"/>
      <c r="F69" s="36"/>
      <c r="G69" s="18">
        <v>3375</v>
      </c>
    </row>
    <row r="70" ht="21.75" customHeight="1" spans="1:7">
      <c r="A70" s="41" t="s">
        <v>147</v>
      </c>
      <c r="B70" s="42" t="s">
        <v>148</v>
      </c>
      <c r="C70" s="41" t="s">
        <v>136</v>
      </c>
      <c r="D70" s="26">
        <f t="shared" si="1"/>
        <v>199</v>
      </c>
      <c r="E70" s="36"/>
      <c r="F70" s="36"/>
      <c r="G70" s="18">
        <v>199</v>
      </c>
    </row>
    <row r="71" ht="21.75" customHeight="1" spans="1:7">
      <c r="A71" s="41" t="s">
        <v>149</v>
      </c>
      <c r="B71" s="42" t="s">
        <v>150</v>
      </c>
      <c r="C71" s="41" t="s">
        <v>136</v>
      </c>
      <c r="D71" s="26">
        <f t="shared" si="1"/>
        <v>138</v>
      </c>
      <c r="E71" s="36"/>
      <c r="F71" s="36"/>
      <c r="G71" s="18">
        <v>138</v>
      </c>
    </row>
    <row r="72" ht="21.75" customHeight="1" spans="1:7">
      <c r="A72" s="41" t="s">
        <v>151</v>
      </c>
      <c r="B72" s="42" t="s">
        <v>152</v>
      </c>
      <c r="C72" s="41" t="s">
        <v>136</v>
      </c>
      <c r="D72" s="26">
        <f t="shared" si="1"/>
        <v>44</v>
      </c>
      <c r="E72" s="36"/>
      <c r="F72" s="36"/>
      <c r="G72" s="18">
        <v>44</v>
      </c>
    </row>
    <row r="73" ht="21.75" customHeight="1" spans="1:7">
      <c r="A73" s="41" t="s">
        <v>153</v>
      </c>
      <c r="B73" s="42" t="s">
        <v>154</v>
      </c>
      <c r="C73" s="41" t="s">
        <v>136</v>
      </c>
      <c r="D73" s="26">
        <f t="shared" si="1"/>
        <v>10</v>
      </c>
      <c r="E73" s="36"/>
      <c r="F73" s="36"/>
      <c r="G73" s="18">
        <v>10</v>
      </c>
    </row>
    <row r="74" ht="21.75" customHeight="1" spans="1:6">
      <c r="A74" s="41" t="s">
        <v>155</v>
      </c>
      <c r="B74" s="42" t="s">
        <v>156</v>
      </c>
      <c r="C74" s="41"/>
      <c r="D74" s="26"/>
      <c r="E74" s="36"/>
      <c r="F74" s="36"/>
    </row>
    <row r="75" ht="21.75" customHeight="1" spans="1:6">
      <c r="A75" s="41" t="s">
        <v>157</v>
      </c>
      <c r="B75" s="42" t="s">
        <v>158</v>
      </c>
      <c r="C75" s="41"/>
      <c r="D75" s="26"/>
      <c r="E75" s="36"/>
      <c r="F75" s="36"/>
    </row>
    <row r="76" ht="21.75" customHeight="1" spans="1:7">
      <c r="A76" s="41" t="s">
        <v>159</v>
      </c>
      <c r="B76" s="42" t="s">
        <v>160</v>
      </c>
      <c r="C76" s="41" t="s">
        <v>161</v>
      </c>
      <c r="D76" s="26">
        <f t="shared" si="1"/>
        <v>69</v>
      </c>
      <c r="E76" s="36"/>
      <c r="F76" s="36"/>
      <c r="G76" s="18">
        <v>69</v>
      </c>
    </row>
    <row r="77" ht="21.75" customHeight="1" spans="1:6">
      <c r="A77" s="41" t="s">
        <v>162</v>
      </c>
      <c r="B77" s="42" t="s">
        <v>163</v>
      </c>
      <c r="C77" s="41"/>
      <c r="D77" s="26">
        <f t="shared" si="1"/>
        <v>0</v>
      </c>
      <c r="E77" s="36"/>
      <c r="F77" s="36"/>
    </row>
    <row r="78" ht="21.75" customHeight="1" spans="1:7">
      <c r="A78" s="41" t="s">
        <v>164</v>
      </c>
      <c r="B78" s="42" t="s">
        <v>165</v>
      </c>
      <c r="C78" s="41" t="s">
        <v>36</v>
      </c>
      <c r="D78" s="26">
        <f t="shared" si="1"/>
        <v>362</v>
      </c>
      <c r="E78" s="36"/>
      <c r="F78" s="36"/>
      <c r="G78" s="18">
        <v>362</v>
      </c>
    </row>
    <row r="79" ht="21.75" customHeight="1" spans="1:7">
      <c r="A79" s="41" t="s">
        <v>166</v>
      </c>
      <c r="B79" s="42" t="s">
        <v>167</v>
      </c>
      <c r="C79" s="41" t="s">
        <v>36</v>
      </c>
      <c r="D79" s="26">
        <f t="shared" si="1"/>
        <v>80</v>
      </c>
      <c r="E79" s="36"/>
      <c r="F79" s="36"/>
      <c r="G79" s="18">
        <v>80</v>
      </c>
    </row>
    <row r="80" ht="21.75" customHeight="1" spans="1:7">
      <c r="A80" s="41" t="s">
        <v>168</v>
      </c>
      <c r="B80" s="42" t="s">
        <v>169</v>
      </c>
      <c r="C80" s="41" t="s">
        <v>36</v>
      </c>
      <c r="D80" s="26">
        <f t="shared" si="1"/>
        <v>256</v>
      </c>
      <c r="E80" s="36"/>
      <c r="F80" s="36"/>
      <c r="G80" s="18">
        <v>256</v>
      </c>
    </row>
    <row r="81" ht="21.75" customHeight="1" spans="1:7">
      <c r="A81" s="41" t="s">
        <v>170</v>
      </c>
      <c r="B81" s="42" t="s">
        <v>171</v>
      </c>
      <c r="C81" s="41" t="s">
        <v>36</v>
      </c>
      <c r="D81" s="26">
        <f t="shared" si="1"/>
        <v>177</v>
      </c>
      <c r="E81" s="36"/>
      <c r="F81" s="36"/>
      <c r="G81" s="18">
        <v>177</v>
      </c>
    </row>
    <row r="82" ht="21.75" customHeight="1" spans="1:6">
      <c r="A82" s="41" t="s">
        <v>172</v>
      </c>
      <c r="B82" s="42" t="s">
        <v>173</v>
      </c>
      <c r="C82" s="41"/>
      <c r="D82" s="26"/>
      <c r="E82" s="36"/>
      <c r="F82" s="36"/>
    </row>
    <row r="83" ht="21.75" customHeight="1" spans="1:7">
      <c r="A83" s="41" t="s">
        <v>174</v>
      </c>
      <c r="B83" s="42" t="s">
        <v>175</v>
      </c>
      <c r="C83" s="41" t="s">
        <v>176</v>
      </c>
      <c r="D83" s="26">
        <f>G83</f>
        <v>1260</v>
      </c>
      <c r="E83" s="36"/>
      <c r="F83" s="36"/>
      <c r="G83" s="18">
        <v>1260</v>
      </c>
    </row>
    <row r="84" ht="21.75" customHeight="1" spans="1:7">
      <c r="A84" s="41" t="s">
        <v>177</v>
      </c>
      <c r="B84" s="42" t="s">
        <v>178</v>
      </c>
      <c r="C84" s="41" t="s">
        <v>36</v>
      </c>
      <c r="D84" s="26">
        <f t="shared" si="1"/>
        <v>28</v>
      </c>
      <c r="E84" s="36"/>
      <c r="F84" s="36"/>
      <c r="G84" s="18">
        <v>28</v>
      </c>
    </row>
    <row r="85" ht="21.75" customHeight="1" spans="1:6">
      <c r="A85" s="41" t="s">
        <v>179</v>
      </c>
      <c r="B85" s="42" t="s">
        <v>180</v>
      </c>
      <c r="C85" s="41"/>
      <c r="D85" s="26"/>
      <c r="E85" s="36"/>
      <c r="F85" s="36"/>
    </row>
    <row r="86" ht="21.75" customHeight="1" spans="1:7">
      <c r="A86" s="41" t="s">
        <v>181</v>
      </c>
      <c r="B86" s="42" t="s">
        <v>180</v>
      </c>
      <c r="C86" s="41" t="s">
        <v>182</v>
      </c>
      <c r="D86" s="26">
        <f t="shared" si="1"/>
        <v>12</v>
      </c>
      <c r="E86" s="36"/>
      <c r="F86" s="36"/>
      <c r="G86" s="18">
        <v>12</v>
      </c>
    </row>
    <row r="87" ht="21.75" customHeight="1" spans="1:6">
      <c r="A87" s="41" t="s">
        <v>183</v>
      </c>
      <c r="B87" s="42" t="s">
        <v>184</v>
      </c>
      <c r="C87" s="41"/>
      <c r="D87" s="26"/>
      <c r="E87" s="36"/>
      <c r="F87" s="36"/>
    </row>
    <row r="88" ht="21.75" customHeight="1" spans="1:7">
      <c r="A88" s="41" t="s">
        <v>185</v>
      </c>
      <c r="B88" s="42" t="s">
        <v>186</v>
      </c>
      <c r="C88" s="41" t="s">
        <v>15</v>
      </c>
      <c r="D88" s="26">
        <f t="shared" si="1"/>
        <v>30</v>
      </c>
      <c r="E88" s="36"/>
      <c r="F88" s="36"/>
      <c r="G88" s="18">
        <v>30</v>
      </c>
    </row>
    <row r="89" ht="21.75" customHeight="1" spans="1:6">
      <c r="A89" s="41" t="s">
        <v>187</v>
      </c>
      <c r="B89" s="42" t="s">
        <v>188</v>
      </c>
      <c r="C89" s="41"/>
      <c r="D89" s="26"/>
      <c r="E89" s="36"/>
      <c r="F89" s="36"/>
    </row>
    <row r="90" ht="21.75" customHeight="1" spans="1:7">
      <c r="A90" s="41" t="s">
        <v>189</v>
      </c>
      <c r="B90" s="42" t="s">
        <v>190</v>
      </c>
      <c r="C90" s="41" t="s">
        <v>191</v>
      </c>
      <c r="D90" s="26">
        <f t="shared" si="1"/>
        <v>482</v>
      </c>
      <c r="E90" s="36"/>
      <c r="F90" s="36"/>
      <c r="G90" s="18">
        <v>482</v>
      </c>
    </row>
    <row r="91" ht="21.75" customHeight="1" spans="1:6">
      <c r="A91" s="41" t="s">
        <v>192</v>
      </c>
      <c r="B91" s="42" t="s">
        <v>193</v>
      </c>
      <c r="C91" s="41"/>
      <c r="D91" s="26"/>
      <c r="E91" s="36"/>
      <c r="F91" s="36"/>
    </row>
    <row r="92" ht="21.75" customHeight="1" spans="1:6">
      <c r="A92" s="43" t="s">
        <v>194</v>
      </c>
      <c r="B92" s="44" t="s">
        <v>195</v>
      </c>
      <c r="C92" s="43"/>
      <c r="D92" s="26"/>
      <c r="E92" s="36"/>
      <c r="F92" s="36"/>
    </row>
    <row r="93" ht="21.75" customHeight="1" spans="1:7">
      <c r="A93" s="45" t="s">
        <v>196</v>
      </c>
      <c r="B93" s="44" t="s">
        <v>197</v>
      </c>
      <c r="C93" s="43" t="s">
        <v>176</v>
      </c>
      <c r="D93" s="26">
        <f t="shared" si="1"/>
        <v>120</v>
      </c>
      <c r="E93" s="36"/>
      <c r="F93" s="36"/>
      <c r="G93" s="18">
        <v>120</v>
      </c>
    </row>
    <row r="94" ht="21.75" customHeight="1" spans="1:7">
      <c r="A94" s="45" t="s">
        <v>198</v>
      </c>
      <c r="B94" s="44" t="s">
        <v>199</v>
      </c>
      <c r="C94" s="43" t="s">
        <v>176</v>
      </c>
      <c r="D94" s="26">
        <f t="shared" si="1"/>
        <v>1550</v>
      </c>
      <c r="E94" s="36"/>
      <c r="F94" s="36"/>
      <c r="G94" s="18">
        <v>1550</v>
      </c>
    </row>
    <row r="95" ht="21.75" customHeight="1" spans="1:6">
      <c r="A95" s="43" t="s">
        <v>200</v>
      </c>
      <c r="B95" s="44" t="s">
        <v>201</v>
      </c>
      <c r="C95" s="43"/>
      <c r="D95" s="26"/>
      <c r="E95" s="36"/>
      <c r="F95" s="36"/>
    </row>
    <row r="96" ht="21.75" customHeight="1" spans="1:7">
      <c r="A96" s="43" t="s">
        <v>202</v>
      </c>
      <c r="B96" s="44" t="s">
        <v>203</v>
      </c>
      <c r="C96" s="43" t="s">
        <v>204</v>
      </c>
      <c r="D96" s="26">
        <f t="shared" si="1"/>
        <v>1</v>
      </c>
      <c r="E96" s="43"/>
      <c r="F96" s="43"/>
      <c r="G96" s="18">
        <v>1</v>
      </c>
    </row>
    <row r="97" ht="21.75" customHeight="1" spans="1:6">
      <c r="A97" s="44">
        <v>1</v>
      </c>
      <c r="B97" s="46" t="s">
        <v>205</v>
      </c>
      <c r="C97" s="43" t="s">
        <v>57</v>
      </c>
      <c r="D97" s="26">
        <v>2</v>
      </c>
      <c r="E97" s="43"/>
      <c r="F97" s="43"/>
    </row>
    <row r="98" ht="21.75" customHeight="1" spans="1:6">
      <c r="A98" s="44">
        <v>2</v>
      </c>
      <c r="B98" s="46" t="s">
        <v>206</v>
      </c>
      <c r="C98" s="43" t="s">
        <v>57</v>
      </c>
      <c r="D98" s="26">
        <v>2</v>
      </c>
      <c r="E98" s="43"/>
      <c r="F98" s="43"/>
    </row>
    <row r="99" ht="21.75" customHeight="1" spans="1:6">
      <c r="A99" s="44">
        <v>4</v>
      </c>
      <c r="B99" s="46" t="s">
        <v>207</v>
      </c>
      <c r="C99" s="43" t="s">
        <v>57</v>
      </c>
      <c r="D99" s="26">
        <v>1</v>
      </c>
      <c r="E99" s="43"/>
      <c r="F99" s="43"/>
    </row>
    <row r="100" ht="21.75" customHeight="1" spans="1:6">
      <c r="A100" s="44">
        <v>6</v>
      </c>
      <c r="B100" s="46" t="s">
        <v>208</v>
      </c>
      <c r="C100" s="43" t="s">
        <v>57</v>
      </c>
      <c r="D100" s="26">
        <v>4</v>
      </c>
      <c r="E100" s="43"/>
      <c r="F100" s="43"/>
    </row>
    <row r="101" ht="21.75" customHeight="1" spans="1:6">
      <c r="A101" s="44">
        <v>7</v>
      </c>
      <c r="B101" s="46" t="s">
        <v>209</v>
      </c>
      <c r="C101" s="43" t="s">
        <v>57</v>
      </c>
      <c r="D101" s="26">
        <v>4</v>
      </c>
      <c r="E101" s="43"/>
      <c r="F101" s="43"/>
    </row>
    <row r="102" ht="21.75" customHeight="1" spans="1:6">
      <c r="A102" s="44">
        <v>8</v>
      </c>
      <c r="B102" s="46" t="s">
        <v>210</v>
      </c>
      <c r="C102" s="43" t="s">
        <v>57</v>
      </c>
      <c r="D102" s="26">
        <v>12</v>
      </c>
      <c r="E102" s="43"/>
      <c r="F102" s="43"/>
    </row>
    <row r="103" ht="21.75" customHeight="1" spans="1:6">
      <c r="A103" s="44">
        <v>9</v>
      </c>
      <c r="B103" s="46" t="s">
        <v>211</v>
      </c>
      <c r="C103" s="43" t="s">
        <v>57</v>
      </c>
      <c r="D103" s="26">
        <v>12</v>
      </c>
      <c r="E103" s="43"/>
      <c r="F103" s="43"/>
    </row>
    <row r="104" ht="21.75" customHeight="1" spans="1:6">
      <c r="A104" s="44">
        <v>10</v>
      </c>
      <c r="B104" s="46" t="s">
        <v>212</v>
      </c>
      <c r="C104" s="43" t="s">
        <v>15</v>
      </c>
      <c r="D104" s="26">
        <v>800</v>
      </c>
      <c r="E104" s="43"/>
      <c r="F104" s="43"/>
    </row>
    <row r="105" ht="21.75" customHeight="1" spans="1:6">
      <c r="A105" s="44">
        <v>11</v>
      </c>
      <c r="B105" s="46" t="s">
        <v>213</v>
      </c>
      <c r="C105" s="43" t="s">
        <v>15</v>
      </c>
      <c r="D105" s="26">
        <v>300</v>
      </c>
      <c r="E105" s="43"/>
      <c r="F105" s="43"/>
    </row>
    <row r="106" ht="21.75" customHeight="1" spans="1:6">
      <c r="A106" s="44">
        <v>12</v>
      </c>
      <c r="B106" s="46" t="s">
        <v>214</v>
      </c>
      <c r="C106" s="43" t="s">
        <v>215</v>
      </c>
      <c r="D106" s="26">
        <v>17</v>
      </c>
      <c r="E106" s="43"/>
      <c r="F106" s="43"/>
    </row>
    <row r="107" ht="21.75" customHeight="1" spans="1:6">
      <c r="A107" s="44">
        <v>13</v>
      </c>
      <c r="B107" s="46" t="s">
        <v>216</v>
      </c>
      <c r="C107" s="43" t="s">
        <v>15</v>
      </c>
      <c r="D107" s="26">
        <v>300</v>
      </c>
      <c r="E107" s="43"/>
      <c r="F107" s="43"/>
    </row>
    <row r="108" ht="21.75" customHeight="1" spans="1:6">
      <c r="A108" s="44">
        <v>14</v>
      </c>
      <c r="B108" s="46" t="s">
        <v>217</v>
      </c>
      <c r="C108" s="43" t="s">
        <v>15</v>
      </c>
      <c r="D108" s="26">
        <v>160</v>
      </c>
      <c r="E108" s="43"/>
      <c r="F108" s="43"/>
    </row>
    <row r="109" ht="21.75" customHeight="1" spans="1:6">
      <c r="A109" s="44"/>
      <c r="B109" s="46" t="s">
        <v>218</v>
      </c>
      <c r="C109" s="43" t="s">
        <v>15</v>
      </c>
      <c r="D109" s="26">
        <v>150</v>
      </c>
      <c r="E109" s="43"/>
      <c r="F109" s="43"/>
    </row>
    <row r="110" ht="21.75" customHeight="1" spans="1:6">
      <c r="A110" s="44">
        <v>15</v>
      </c>
      <c r="B110" s="46" t="s">
        <v>219</v>
      </c>
      <c r="C110" s="43" t="s">
        <v>36</v>
      </c>
      <c r="D110" s="26">
        <v>17</v>
      </c>
      <c r="E110" s="43"/>
      <c r="F110" s="43"/>
    </row>
    <row r="111" ht="21.75" customHeight="1" spans="1:6">
      <c r="A111" s="44">
        <v>16</v>
      </c>
      <c r="B111" s="46" t="s">
        <v>220</v>
      </c>
      <c r="C111" s="43" t="s">
        <v>221</v>
      </c>
      <c r="D111" s="26">
        <v>1</v>
      </c>
      <c r="E111" s="43"/>
      <c r="F111" s="43"/>
    </row>
    <row r="112" ht="21.75" customHeight="1" spans="1:6">
      <c r="A112" s="44">
        <v>17</v>
      </c>
      <c r="B112" s="46" t="s">
        <v>222</v>
      </c>
      <c r="C112" s="43" t="s">
        <v>204</v>
      </c>
      <c r="D112" s="26">
        <v>1</v>
      </c>
      <c r="E112" s="44"/>
      <c r="F112" s="44"/>
    </row>
    <row r="113" ht="21.75" customHeight="1" spans="1:6">
      <c r="A113" s="44"/>
      <c r="B113" s="46" t="s">
        <v>223</v>
      </c>
      <c r="C113" s="43" t="s">
        <v>57</v>
      </c>
      <c r="D113" s="26">
        <v>4</v>
      </c>
      <c r="E113" s="44"/>
      <c r="F113" s="44"/>
    </row>
    <row r="114" ht="21.75" customHeight="1" spans="1:6">
      <c r="A114" s="44"/>
      <c r="B114" s="46" t="s">
        <v>224</v>
      </c>
      <c r="C114" s="43" t="s">
        <v>57</v>
      </c>
      <c r="D114" s="26">
        <v>4</v>
      </c>
      <c r="E114" s="44"/>
      <c r="F114" s="44"/>
    </row>
    <row r="115" ht="21.75" customHeight="1" spans="1:6">
      <c r="A115" s="44"/>
      <c r="B115" s="46" t="s">
        <v>225</v>
      </c>
      <c r="C115" s="43" t="s">
        <v>57</v>
      </c>
      <c r="D115" s="26">
        <v>1</v>
      </c>
      <c r="E115" s="44"/>
      <c r="F115" s="44"/>
    </row>
    <row r="116" ht="21.75" customHeight="1" spans="1:6">
      <c r="A116" s="44"/>
      <c r="B116" s="46" t="s">
        <v>226</v>
      </c>
      <c r="C116" s="43" t="s">
        <v>57</v>
      </c>
      <c r="D116" s="26">
        <v>2</v>
      </c>
      <c r="E116" s="44"/>
      <c r="F116" s="44"/>
    </row>
    <row r="117" ht="21.75" customHeight="1" spans="1:6">
      <c r="A117" s="44"/>
      <c r="B117" s="46" t="s">
        <v>227</v>
      </c>
      <c r="C117" s="43" t="s">
        <v>228</v>
      </c>
      <c r="D117" s="26">
        <v>1</v>
      </c>
      <c r="E117" s="44"/>
      <c r="F117" s="44"/>
    </row>
    <row r="118" ht="21.75" customHeight="1" spans="1:6">
      <c r="A118" s="44"/>
      <c r="B118" s="46" t="s">
        <v>229</v>
      </c>
      <c r="C118" s="43" t="s">
        <v>176</v>
      </c>
      <c r="D118" s="26">
        <v>4</v>
      </c>
      <c r="E118" s="44"/>
      <c r="F118" s="44"/>
    </row>
    <row r="119" ht="21.75" customHeight="1" spans="1:6">
      <c r="A119" s="44"/>
      <c r="B119" s="46" t="s">
        <v>230</v>
      </c>
      <c r="C119" s="43" t="s">
        <v>176</v>
      </c>
      <c r="D119" s="26">
        <v>8</v>
      </c>
      <c r="E119" s="44"/>
      <c r="F119" s="44"/>
    </row>
    <row r="120" ht="21.75" customHeight="1" spans="1:6">
      <c r="A120" s="44"/>
      <c r="B120" s="46" t="s">
        <v>231</v>
      </c>
      <c r="C120" s="43" t="s">
        <v>176</v>
      </c>
      <c r="D120" s="26">
        <v>8</v>
      </c>
      <c r="E120" s="44"/>
      <c r="F120" s="44"/>
    </row>
    <row r="121" ht="21.75" customHeight="1" spans="1:6">
      <c r="A121" s="44"/>
      <c r="B121" s="46" t="s">
        <v>232</v>
      </c>
      <c r="C121" s="43" t="s">
        <v>57</v>
      </c>
      <c r="D121" s="26">
        <v>1</v>
      </c>
      <c r="E121" s="44"/>
      <c r="F121" s="44"/>
    </row>
    <row r="122" ht="21.75" customHeight="1" spans="1:6">
      <c r="A122" s="44"/>
      <c r="B122" s="46" t="s">
        <v>233</v>
      </c>
      <c r="C122" s="43" t="s">
        <v>228</v>
      </c>
      <c r="D122" s="26">
        <v>1</v>
      </c>
      <c r="E122" s="44"/>
      <c r="F122" s="44"/>
    </row>
    <row r="123" ht="21.75" customHeight="1" spans="1:6">
      <c r="A123" s="44"/>
      <c r="B123" s="46" t="s">
        <v>234</v>
      </c>
      <c r="C123" s="43" t="s">
        <v>15</v>
      </c>
      <c r="D123" s="26">
        <v>2400</v>
      </c>
      <c r="E123" s="44"/>
      <c r="F123" s="44"/>
    </row>
    <row r="124" ht="21.75" customHeight="1" spans="1:6">
      <c r="A124" s="44"/>
      <c r="B124" s="46" t="s">
        <v>235</v>
      </c>
      <c r="C124" s="43" t="s">
        <v>57</v>
      </c>
      <c r="D124" s="26">
        <v>1</v>
      </c>
      <c r="E124" s="44"/>
      <c r="F124" s="44"/>
    </row>
    <row r="125" ht="21.75" customHeight="1" spans="1:6">
      <c r="A125" s="44"/>
      <c r="B125" s="46" t="s">
        <v>236</v>
      </c>
      <c r="C125" s="43" t="s">
        <v>57</v>
      </c>
      <c r="D125" s="26">
        <v>2</v>
      </c>
      <c r="E125" s="44"/>
      <c r="F125" s="44"/>
    </row>
    <row r="126" ht="21.75" customHeight="1" spans="1:6">
      <c r="A126" s="44"/>
      <c r="B126" s="46" t="s">
        <v>237</v>
      </c>
      <c r="C126" s="43" t="s">
        <v>57</v>
      </c>
      <c r="D126" s="26">
        <v>2</v>
      </c>
      <c r="E126" s="44"/>
      <c r="F126" s="44"/>
    </row>
    <row r="127" ht="21.75" customHeight="1" spans="1:6">
      <c r="A127" s="44"/>
      <c r="B127" s="46" t="s">
        <v>238</v>
      </c>
      <c r="C127" s="43" t="s">
        <v>176</v>
      </c>
      <c r="D127" s="26">
        <v>4</v>
      </c>
      <c r="E127" s="44"/>
      <c r="F127" s="44"/>
    </row>
    <row r="128" ht="21.75" customHeight="1" spans="1:6">
      <c r="A128" s="44"/>
      <c r="B128" s="46" t="s">
        <v>239</v>
      </c>
      <c r="C128" s="43" t="s">
        <v>176</v>
      </c>
      <c r="D128" s="26">
        <v>1</v>
      </c>
      <c r="E128" s="44"/>
      <c r="F128" s="44"/>
    </row>
    <row r="129" ht="21.75" customHeight="1" spans="1:6">
      <c r="A129" s="44"/>
      <c r="B129" s="46" t="s">
        <v>220</v>
      </c>
      <c r="C129" s="43" t="s">
        <v>221</v>
      </c>
      <c r="D129" s="26">
        <v>1</v>
      </c>
      <c r="E129" s="44"/>
      <c r="F129" s="44"/>
    </row>
    <row r="130" ht="21.75" customHeight="1" spans="1:6">
      <c r="A130" s="44"/>
      <c r="B130" s="46" t="s">
        <v>240</v>
      </c>
      <c r="C130" s="43" t="s">
        <v>204</v>
      </c>
      <c r="D130" s="26">
        <v>1</v>
      </c>
      <c r="E130" s="44"/>
      <c r="F130" s="44"/>
    </row>
    <row r="131" ht="21.75" customHeight="1" spans="1:6">
      <c r="A131" s="44"/>
      <c r="B131" s="46" t="s">
        <v>222</v>
      </c>
      <c r="C131" s="43" t="s">
        <v>204</v>
      </c>
      <c r="D131" s="26">
        <v>1</v>
      </c>
      <c r="E131" s="44"/>
      <c r="F131" s="44"/>
    </row>
    <row r="132" ht="21.75" customHeight="1" spans="1:6">
      <c r="A132" s="44"/>
      <c r="B132" s="46" t="s">
        <v>241</v>
      </c>
      <c r="C132" s="43" t="s">
        <v>242</v>
      </c>
      <c r="D132" s="26">
        <v>5</v>
      </c>
      <c r="E132" s="44"/>
      <c r="F132" s="44"/>
    </row>
    <row r="133" ht="21.75" customHeight="1" spans="1:13">
      <c r="A133" s="43" t="s">
        <v>243</v>
      </c>
      <c r="B133" s="44" t="s">
        <v>244</v>
      </c>
      <c r="C133" s="43" t="s">
        <v>204</v>
      </c>
      <c r="D133" s="26">
        <f>G133</f>
        <v>1</v>
      </c>
      <c r="E133" s="36"/>
      <c r="F133" s="36"/>
      <c r="G133" s="18">
        <v>1</v>
      </c>
      <c r="I133" s="48"/>
      <c r="J133" s="48"/>
      <c r="K133" s="48"/>
      <c r="L133" s="48"/>
      <c r="M133" s="49"/>
    </row>
    <row r="134" ht="21.75" customHeight="1" spans="1:13">
      <c r="A134" s="44">
        <v>1</v>
      </c>
      <c r="B134" s="46" t="s">
        <v>205</v>
      </c>
      <c r="C134" s="43" t="s">
        <v>57</v>
      </c>
      <c r="D134" s="26">
        <v>2</v>
      </c>
      <c r="E134" s="36"/>
      <c r="F134" s="36"/>
      <c r="I134" s="48"/>
      <c r="J134" s="48"/>
      <c r="K134" s="48"/>
      <c r="L134" s="48"/>
      <c r="M134" s="49"/>
    </row>
    <row r="135" ht="21.75" customHeight="1" spans="1:13">
      <c r="A135" s="44">
        <v>2</v>
      </c>
      <c r="B135" s="46" t="s">
        <v>206</v>
      </c>
      <c r="C135" s="43" t="s">
        <v>57</v>
      </c>
      <c r="D135" s="26">
        <v>1</v>
      </c>
      <c r="E135" s="36"/>
      <c r="F135" s="36"/>
      <c r="I135" s="48"/>
      <c r="J135" s="48"/>
      <c r="K135" s="48"/>
      <c r="L135" s="48"/>
      <c r="M135" s="49"/>
    </row>
    <row r="136" ht="21.75" customHeight="1" spans="1:13">
      <c r="A136" s="44">
        <v>3</v>
      </c>
      <c r="B136" s="46" t="s">
        <v>207</v>
      </c>
      <c r="C136" s="43" t="s">
        <v>57</v>
      </c>
      <c r="D136" s="26">
        <v>1</v>
      </c>
      <c r="E136" s="36"/>
      <c r="F136" s="36"/>
      <c r="I136" s="48"/>
      <c r="J136" s="48"/>
      <c r="K136" s="48"/>
      <c r="L136" s="48"/>
      <c r="M136" s="49"/>
    </row>
    <row r="137" ht="21.75" customHeight="1" spans="1:13">
      <c r="A137" s="44">
        <v>4</v>
      </c>
      <c r="B137" s="46" t="s">
        <v>245</v>
      </c>
      <c r="C137" s="43" t="s">
        <v>57</v>
      </c>
      <c r="D137" s="26">
        <v>1</v>
      </c>
      <c r="E137" s="36"/>
      <c r="F137" s="36"/>
      <c r="I137" s="48"/>
      <c r="J137" s="48"/>
      <c r="K137" s="48"/>
      <c r="L137" s="48"/>
      <c r="M137" s="49"/>
    </row>
    <row r="138" ht="21.75" customHeight="1" spans="1:13">
      <c r="A138" s="44">
        <v>5</v>
      </c>
      <c r="B138" s="46" t="s">
        <v>208</v>
      </c>
      <c r="C138" s="43" t="s">
        <v>57</v>
      </c>
      <c r="D138" s="26">
        <v>3</v>
      </c>
      <c r="E138" s="36"/>
      <c r="F138" s="36"/>
      <c r="I138" s="48"/>
      <c r="J138" s="48"/>
      <c r="K138" s="48"/>
      <c r="L138" s="48"/>
      <c r="M138" s="49"/>
    </row>
    <row r="139" ht="21.75" customHeight="1" spans="1:13">
      <c r="A139" s="44">
        <v>6</v>
      </c>
      <c r="B139" s="46" t="s">
        <v>210</v>
      </c>
      <c r="C139" s="43" t="s">
        <v>57</v>
      </c>
      <c r="D139" s="26">
        <v>12</v>
      </c>
      <c r="E139" s="36"/>
      <c r="F139" s="36"/>
      <c r="I139" s="48"/>
      <c r="J139" s="48"/>
      <c r="K139" s="48"/>
      <c r="L139" s="48"/>
      <c r="M139" s="49"/>
    </row>
    <row r="140" ht="21.75" customHeight="1" spans="1:13">
      <c r="A140" s="44">
        <v>7</v>
      </c>
      <c r="B140" s="46" t="s">
        <v>211</v>
      </c>
      <c r="C140" s="43" t="s">
        <v>57</v>
      </c>
      <c r="D140" s="26">
        <v>12</v>
      </c>
      <c r="E140" s="36"/>
      <c r="F140" s="36"/>
      <c r="I140" s="48"/>
      <c r="J140" s="48"/>
      <c r="K140" s="48"/>
      <c r="L140" s="48"/>
      <c r="M140" s="49"/>
    </row>
    <row r="141" ht="21.75" customHeight="1" spans="1:13">
      <c r="A141" s="44">
        <v>8</v>
      </c>
      <c r="B141" s="46" t="s">
        <v>212</v>
      </c>
      <c r="C141" s="43" t="s">
        <v>15</v>
      </c>
      <c r="D141" s="26">
        <v>500</v>
      </c>
      <c r="E141" s="36"/>
      <c r="F141" s="36"/>
      <c r="I141" s="48"/>
      <c r="J141" s="48"/>
      <c r="K141" s="48"/>
      <c r="L141" s="48"/>
      <c r="M141" s="49"/>
    </row>
    <row r="142" ht="21.75" customHeight="1" spans="1:13">
      <c r="A142" s="44">
        <v>9</v>
      </c>
      <c r="B142" s="46" t="s">
        <v>213</v>
      </c>
      <c r="C142" s="43" t="s">
        <v>15</v>
      </c>
      <c r="D142" s="26">
        <v>300</v>
      </c>
      <c r="E142" s="36"/>
      <c r="F142" s="36"/>
      <c r="I142" s="48"/>
      <c r="J142" s="48"/>
      <c r="K142" s="48"/>
      <c r="L142" s="48"/>
      <c r="M142" s="49"/>
    </row>
    <row r="143" ht="21.75" customHeight="1" spans="1:13">
      <c r="A143" s="44">
        <v>10</v>
      </c>
      <c r="B143" s="46" t="s">
        <v>214</v>
      </c>
      <c r="C143" s="43" t="s">
        <v>215</v>
      </c>
      <c r="D143" s="26">
        <v>16</v>
      </c>
      <c r="E143" s="36"/>
      <c r="F143" s="36"/>
      <c r="I143" s="48"/>
      <c r="J143" s="48"/>
      <c r="K143" s="48"/>
      <c r="L143" s="48"/>
      <c r="M143" s="49"/>
    </row>
    <row r="144" ht="21.75" customHeight="1" spans="1:13">
      <c r="A144" s="44">
        <v>11</v>
      </c>
      <c r="B144" s="46" t="s">
        <v>216</v>
      </c>
      <c r="C144" s="43" t="s">
        <v>15</v>
      </c>
      <c r="D144" s="26">
        <v>300</v>
      </c>
      <c r="E144" s="36"/>
      <c r="F144" s="36"/>
      <c r="I144" s="48"/>
      <c r="J144" s="48"/>
      <c r="K144" s="48"/>
      <c r="L144" s="48"/>
      <c r="M144" s="49"/>
    </row>
    <row r="145" ht="21.75" customHeight="1" spans="1:13">
      <c r="A145" s="44">
        <v>12</v>
      </c>
      <c r="B145" s="46" t="s">
        <v>217</v>
      </c>
      <c r="C145" s="43" t="s">
        <v>15</v>
      </c>
      <c r="D145" s="26">
        <v>110</v>
      </c>
      <c r="E145" s="36"/>
      <c r="F145" s="36"/>
      <c r="I145" s="48"/>
      <c r="J145" s="48"/>
      <c r="K145" s="48"/>
      <c r="L145" s="48"/>
      <c r="M145" s="49"/>
    </row>
    <row r="146" ht="21.75" customHeight="1" spans="1:13">
      <c r="A146" s="44">
        <v>13</v>
      </c>
      <c r="B146" s="46" t="s">
        <v>218</v>
      </c>
      <c r="C146" s="43" t="s">
        <v>15</v>
      </c>
      <c r="D146" s="26">
        <v>120</v>
      </c>
      <c r="E146" s="36"/>
      <c r="F146" s="36"/>
      <c r="I146" s="48"/>
      <c r="J146" s="48"/>
      <c r="K146" s="48"/>
      <c r="L146" s="48"/>
      <c r="M146" s="49"/>
    </row>
    <row r="147" ht="21.75" customHeight="1" spans="1:13">
      <c r="A147" s="44">
        <v>14</v>
      </c>
      <c r="B147" s="46" t="s">
        <v>219</v>
      </c>
      <c r="C147" s="43" t="s">
        <v>36</v>
      </c>
      <c r="D147" s="26">
        <v>13</v>
      </c>
      <c r="E147" s="36"/>
      <c r="F147" s="36"/>
      <c r="I147" s="48"/>
      <c r="J147" s="48"/>
      <c r="K147" s="48"/>
      <c r="L147" s="48"/>
      <c r="M147" s="49"/>
    </row>
    <row r="148" ht="21.75" customHeight="1" spans="1:13">
      <c r="A148" s="44">
        <v>15</v>
      </c>
      <c r="B148" s="46" t="s">
        <v>220</v>
      </c>
      <c r="C148" s="43" t="s">
        <v>221</v>
      </c>
      <c r="D148" s="26">
        <v>1</v>
      </c>
      <c r="E148" s="36"/>
      <c r="F148" s="36"/>
      <c r="I148" s="48"/>
      <c r="J148" s="48"/>
      <c r="K148" s="48"/>
      <c r="L148" s="48"/>
      <c r="M148" s="49"/>
    </row>
    <row r="149" ht="21.75" customHeight="1" spans="1:13">
      <c r="A149" s="44">
        <v>16</v>
      </c>
      <c r="B149" s="46" t="s">
        <v>222</v>
      </c>
      <c r="C149" s="43" t="s">
        <v>204</v>
      </c>
      <c r="D149" s="26">
        <v>1</v>
      </c>
      <c r="E149" s="36"/>
      <c r="F149" s="36"/>
      <c r="I149" s="48"/>
      <c r="J149" s="48"/>
      <c r="K149" s="48"/>
      <c r="L149" s="48"/>
      <c r="M149" s="49"/>
    </row>
    <row r="150" ht="21.75" customHeight="1" spans="1:13">
      <c r="A150" s="44"/>
      <c r="B150" s="46" t="s">
        <v>223</v>
      </c>
      <c r="C150" s="43" t="s">
        <v>57</v>
      </c>
      <c r="D150" s="26">
        <v>3</v>
      </c>
      <c r="E150" s="36"/>
      <c r="F150" s="36"/>
      <c r="I150" s="50"/>
      <c r="J150" s="50"/>
      <c r="K150" s="50"/>
      <c r="L150" s="50"/>
      <c r="M150" s="51"/>
    </row>
    <row r="151" ht="21.75" customHeight="1" spans="1:13">
      <c r="A151" s="44"/>
      <c r="B151" s="46" t="s">
        <v>224</v>
      </c>
      <c r="C151" s="43" t="s">
        <v>57</v>
      </c>
      <c r="D151" s="26">
        <v>3</v>
      </c>
      <c r="E151" s="36"/>
      <c r="F151" s="36"/>
      <c r="I151" s="50"/>
      <c r="J151" s="50"/>
      <c r="K151" s="50"/>
      <c r="L151" s="50"/>
      <c r="M151" s="51"/>
    </row>
    <row r="152" ht="21.75" customHeight="1" spans="1:13">
      <c r="A152" s="44"/>
      <c r="B152" s="46" t="s">
        <v>225</v>
      </c>
      <c r="C152" s="43" t="s">
        <v>57</v>
      </c>
      <c r="D152" s="26">
        <v>1</v>
      </c>
      <c r="E152" s="36"/>
      <c r="F152" s="36"/>
      <c r="I152" s="50"/>
      <c r="J152" s="50"/>
      <c r="K152" s="50"/>
      <c r="L152" s="50"/>
      <c r="M152" s="51"/>
    </row>
    <row r="153" ht="21.75" customHeight="1" spans="1:13">
      <c r="A153" s="44"/>
      <c r="B153" s="46" t="s">
        <v>226</v>
      </c>
      <c r="C153" s="43" t="s">
        <v>57</v>
      </c>
      <c r="D153" s="26">
        <v>2</v>
      </c>
      <c r="E153" s="36"/>
      <c r="F153" s="36"/>
      <c r="I153" s="50"/>
      <c r="J153" s="50"/>
      <c r="K153" s="50"/>
      <c r="L153" s="50"/>
      <c r="M153" s="51"/>
    </row>
    <row r="154" ht="21.75" customHeight="1" spans="1:13">
      <c r="A154" s="44"/>
      <c r="B154" s="46" t="s">
        <v>227</v>
      </c>
      <c r="C154" s="43" t="s">
        <v>228</v>
      </c>
      <c r="D154" s="26">
        <v>1</v>
      </c>
      <c r="E154" s="36"/>
      <c r="F154" s="36"/>
      <c r="I154" s="50"/>
      <c r="J154" s="50"/>
      <c r="K154" s="50"/>
      <c r="L154" s="50"/>
      <c r="M154" s="51"/>
    </row>
    <row r="155" ht="21.75" customHeight="1" spans="1:13">
      <c r="A155" s="44"/>
      <c r="B155" s="46" t="s">
        <v>229</v>
      </c>
      <c r="C155" s="43" t="s">
        <v>176</v>
      </c>
      <c r="D155" s="26">
        <v>3</v>
      </c>
      <c r="E155" s="36"/>
      <c r="F155" s="36"/>
      <c r="I155" s="50"/>
      <c r="J155" s="50"/>
      <c r="K155" s="50"/>
      <c r="L155" s="50"/>
      <c r="M155" s="51"/>
    </row>
    <row r="156" ht="21.75" customHeight="1" spans="1:13">
      <c r="A156" s="44"/>
      <c r="B156" s="46" t="s">
        <v>230</v>
      </c>
      <c r="C156" s="43" t="s">
        <v>176</v>
      </c>
      <c r="D156" s="26">
        <v>6</v>
      </c>
      <c r="E156" s="36"/>
      <c r="F156" s="36"/>
      <c r="I156" s="50"/>
      <c r="J156" s="50"/>
      <c r="K156" s="50"/>
      <c r="L156" s="50"/>
      <c r="M156" s="51"/>
    </row>
    <row r="157" ht="21.75" customHeight="1" spans="1:13">
      <c r="A157" s="44"/>
      <c r="B157" s="46" t="s">
        <v>231</v>
      </c>
      <c r="C157" s="43" t="s">
        <v>176</v>
      </c>
      <c r="D157" s="26">
        <v>6</v>
      </c>
      <c r="E157" s="36"/>
      <c r="F157" s="36"/>
      <c r="I157" s="50"/>
      <c r="J157" s="50"/>
      <c r="K157" s="50"/>
      <c r="L157" s="50"/>
      <c r="M157" s="51"/>
    </row>
    <row r="158" ht="21.75" customHeight="1" spans="1:13">
      <c r="A158" s="44"/>
      <c r="B158" s="46" t="s">
        <v>232</v>
      </c>
      <c r="C158" s="43" t="s">
        <v>57</v>
      </c>
      <c r="D158" s="26">
        <v>1</v>
      </c>
      <c r="E158" s="36"/>
      <c r="F158" s="36"/>
      <c r="I158" s="50"/>
      <c r="J158" s="50"/>
      <c r="K158" s="50"/>
      <c r="L158" s="50"/>
      <c r="M158" s="51"/>
    </row>
    <row r="159" ht="21.75" customHeight="1" spans="1:13">
      <c r="A159" s="44"/>
      <c r="B159" s="46" t="s">
        <v>233</v>
      </c>
      <c r="C159" s="43" t="s">
        <v>228</v>
      </c>
      <c r="D159" s="26">
        <v>1</v>
      </c>
      <c r="E159" s="36"/>
      <c r="F159" s="36"/>
      <c r="I159" s="50"/>
      <c r="J159" s="50"/>
      <c r="K159" s="50"/>
      <c r="L159" s="50"/>
      <c r="M159" s="51"/>
    </row>
    <row r="160" ht="21.75" customHeight="1" spans="1:13">
      <c r="A160" s="44"/>
      <c r="B160" s="46" t="s">
        <v>234</v>
      </c>
      <c r="C160" s="43" t="s">
        <v>15</v>
      </c>
      <c r="D160" s="26">
        <v>1800</v>
      </c>
      <c r="E160" s="36"/>
      <c r="F160" s="36"/>
      <c r="I160" s="50"/>
      <c r="J160" s="50"/>
      <c r="K160" s="50"/>
      <c r="L160" s="50"/>
      <c r="M160" s="51"/>
    </row>
    <row r="161" ht="21.75" customHeight="1" spans="1:13">
      <c r="A161" s="44"/>
      <c r="B161" s="46" t="s">
        <v>235</v>
      </c>
      <c r="C161" s="43" t="s">
        <v>57</v>
      </c>
      <c r="D161" s="26">
        <v>1</v>
      </c>
      <c r="E161" s="36"/>
      <c r="F161" s="36"/>
      <c r="I161" s="50"/>
      <c r="J161" s="50"/>
      <c r="K161" s="50"/>
      <c r="L161" s="50"/>
      <c r="M161" s="51"/>
    </row>
    <row r="162" ht="21.75" customHeight="1" spans="1:13">
      <c r="A162" s="44"/>
      <c r="B162" s="46" t="s">
        <v>236</v>
      </c>
      <c r="C162" s="43" t="s">
        <v>57</v>
      </c>
      <c r="D162" s="26">
        <v>3</v>
      </c>
      <c r="E162" s="36"/>
      <c r="F162" s="36"/>
      <c r="I162" s="50"/>
      <c r="J162" s="50"/>
      <c r="K162" s="50"/>
      <c r="L162" s="50"/>
      <c r="M162" s="51"/>
    </row>
    <row r="163" ht="21.75" customHeight="1" spans="1:13">
      <c r="A163" s="44"/>
      <c r="B163" s="46" t="s">
        <v>237</v>
      </c>
      <c r="C163" s="43" t="s">
        <v>57</v>
      </c>
      <c r="D163" s="26"/>
      <c r="E163" s="36"/>
      <c r="F163" s="36"/>
      <c r="I163" s="50"/>
      <c r="J163" s="50"/>
      <c r="K163" s="50"/>
      <c r="L163" s="50"/>
      <c r="M163" s="51"/>
    </row>
    <row r="164" ht="21.75" customHeight="1" spans="1:13">
      <c r="A164" s="44"/>
      <c r="B164" s="46" t="s">
        <v>238</v>
      </c>
      <c r="C164" s="43" t="s">
        <v>176</v>
      </c>
      <c r="D164" s="26">
        <v>3</v>
      </c>
      <c r="E164" s="36"/>
      <c r="F164" s="36"/>
      <c r="I164" s="50"/>
      <c r="J164" s="50"/>
      <c r="K164" s="50"/>
      <c r="L164" s="50"/>
      <c r="M164" s="51"/>
    </row>
    <row r="165" ht="21.75" customHeight="1" spans="1:13">
      <c r="A165" s="44"/>
      <c r="B165" s="46" t="s">
        <v>239</v>
      </c>
      <c r="C165" s="43" t="s">
        <v>176</v>
      </c>
      <c r="D165" s="26">
        <v>1</v>
      </c>
      <c r="E165" s="36"/>
      <c r="F165" s="36"/>
      <c r="I165" s="50"/>
      <c r="J165" s="50"/>
      <c r="K165" s="50"/>
      <c r="L165" s="50"/>
      <c r="M165" s="51"/>
    </row>
    <row r="166" ht="21.75" customHeight="1" spans="1:13">
      <c r="A166" s="44"/>
      <c r="B166" s="46" t="s">
        <v>220</v>
      </c>
      <c r="C166" s="43" t="s">
        <v>221</v>
      </c>
      <c r="D166" s="26">
        <v>1</v>
      </c>
      <c r="E166" s="36"/>
      <c r="F166" s="36"/>
      <c r="I166" s="50"/>
      <c r="J166" s="50"/>
      <c r="K166" s="50"/>
      <c r="L166" s="50"/>
      <c r="M166" s="51"/>
    </row>
    <row r="167" ht="21.75" customHeight="1" spans="1:13">
      <c r="A167" s="44"/>
      <c r="B167" s="46" t="s">
        <v>240</v>
      </c>
      <c r="C167" s="43" t="s">
        <v>204</v>
      </c>
      <c r="D167" s="26">
        <v>1</v>
      </c>
      <c r="E167" s="36"/>
      <c r="F167" s="36"/>
      <c r="I167" s="50"/>
      <c r="J167" s="50"/>
      <c r="K167" s="50"/>
      <c r="L167" s="50"/>
      <c r="M167" s="51"/>
    </row>
    <row r="168" ht="21.75" customHeight="1" spans="1:13">
      <c r="A168" s="44"/>
      <c r="B168" s="46" t="s">
        <v>222</v>
      </c>
      <c r="C168" s="43" t="s">
        <v>204</v>
      </c>
      <c r="D168" s="26">
        <v>1</v>
      </c>
      <c r="E168" s="36"/>
      <c r="F168" s="36"/>
      <c r="I168" s="50"/>
      <c r="J168" s="50"/>
      <c r="K168" s="50"/>
      <c r="L168" s="50"/>
      <c r="M168" s="51"/>
    </row>
    <row r="169" ht="21.75" customHeight="1" spans="1:13">
      <c r="A169" s="44"/>
      <c r="B169" s="46" t="s">
        <v>241</v>
      </c>
      <c r="C169" s="43" t="s">
        <v>242</v>
      </c>
      <c r="D169" s="26">
        <v>5</v>
      </c>
      <c r="E169" s="36"/>
      <c r="F169" s="36"/>
      <c r="I169" s="50"/>
      <c r="J169" s="50"/>
      <c r="K169" s="50"/>
      <c r="L169" s="50"/>
      <c r="M169" s="51"/>
    </row>
    <row r="170" ht="21.75" customHeight="1" spans="1:7">
      <c r="A170" s="47" t="s">
        <v>246</v>
      </c>
      <c r="B170" s="36" t="s">
        <v>247</v>
      </c>
      <c r="C170" s="47" t="s">
        <v>248</v>
      </c>
      <c r="D170" s="26">
        <f>G170</f>
        <v>4.2</v>
      </c>
      <c r="E170" s="36"/>
      <c r="F170" s="36"/>
      <c r="G170" s="18">
        <v>4.2</v>
      </c>
    </row>
    <row r="174" spans="9:14">
      <c r="I174" s="52"/>
      <c r="J174" s="52"/>
      <c r="K174" s="52"/>
      <c r="L174" s="52"/>
      <c r="M174" s="53"/>
      <c r="N174" s="52"/>
    </row>
  </sheetData>
  <autoFilter ref="B1:B179">
    <extLst/>
  </autoFilter>
  <mergeCells count="1">
    <mergeCell ref="A1:F1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7"/>
  <sheetViews>
    <sheetView workbookViewId="0">
      <selection activeCell="F3" sqref="F3:F7"/>
    </sheetView>
  </sheetViews>
  <sheetFormatPr defaultColWidth="9" defaultRowHeight="13.5" outlineLevelRow="6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249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256</v>
      </c>
      <c r="C3" s="2" t="s">
        <v>257</v>
      </c>
      <c r="D3" s="2" t="s">
        <v>258</v>
      </c>
      <c r="E3" s="2">
        <v>1576</v>
      </c>
      <c r="F3" s="10" t="s">
        <v>259</v>
      </c>
    </row>
    <row r="4" ht="20" customHeight="1" spans="1:6">
      <c r="A4" s="2">
        <v>2</v>
      </c>
      <c r="B4" s="2" t="s">
        <v>260</v>
      </c>
      <c r="C4" s="2" t="s">
        <v>261</v>
      </c>
      <c r="D4" s="2" t="s">
        <v>262</v>
      </c>
      <c r="E4" s="2">
        <v>268</v>
      </c>
      <c r="F4" s="15"/>
    </row>
    <row r="5" ht="20" customHeight="1" spans="1:6">
      <c r="A5" s="2">
        <v>3</v>
      </c>
      <c r="B5" s="2" t="s">
        <v>260</v>
      </c>
      <c r="C5" s="2" t="s">
        <v>263</v>
      </c>
      <c r="D5" s="2" t="s">
        <v>262</v>
      </c>
      <c r="E5" s="2">
        <v>176</v>
      </c>
      <c r="F5" s="15"/>
    </row>
    <row r="6" ht="20" customHeight="1" spans="1:6">
      <c r="A6" s="2">
        <v>4</v>
      </c>
      <c r="B6" s="2" t="s">
        <v>260</v>
      </c>
      <c r="C6" s="2" t="s">
        <v>264</v>
      </c>
      <c r="D6" s="2" t="s">
        <v>258</v>
      </c>
      <c r="E6" s="2">
        <v>176</v>
      </c>
      <c r="F6" s="15"/>
    </row>
    <row r="7" ht="20" customHeight="1" spans="1:6">
      <c r="A7" s="2" t="s">
        <v>265</v>
      </c>
      <c r="B7" s="2"/>
      <c r="C7" s="2"/>
      <c r="D7" s="2"/>
      <c r="E7" s="2">
        <f>SUM(E3:E6)</f>
        <v>2196</v>
      </c>
      <c r="F7" s="5"/>
    </row>
  </sheetData>
  <mergeCells count="2">
    <mergeCell ref="A1:F1"/>
    <mergeCell ref="F3:F7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9"/>
  <sheetViews>
    <sheetView workbookViewId="0">
      <selection activeCell="F3" sqref="F3:F9"/>
    </sheetView>
  </sheetViews>
  <sheetFormatPr defaultColWidth="9" defaultRowHeight="13.5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249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266</v>
      </c>
      <c r="C3" s="2" t="s">
        <v>267</v>
      </c>
      <c r="D3" s="2" t="s">
        <v>268</v>
      </c>
      <c r="E3" s="2">
        <v>56</v>
      </c>
      <c r="F3" s="10" t="s">
        <v>259</v>
      </c>
    </row>
    <row r="4" ht="20" customHeight="1" spans="1:6">
      <c r="A4" s="2">
        <v>2</v>
      </c>
      <c r="B4" s="2" t="s">
        <v>266</v>
      </c>
      <c r="C4" s="2" t="s">
        <v>269</v>
      </c>
      <c r="D4" s="2" t="s">
        <v>262</v>
      </c>
      <c r="E4" s="2">
        <v>36</v>
      </c>
      <c r="F4" s="15"/>
    </row>
    <row r="5" ht="20" customHeight="1" spans="1:6">
      <c r="A5" s="2">
        <v>3</v>
      </c>
      <c r="B5" s="2" t="s">
        <v>270</v>
      </c>
      <c r="C5" s="2" t="s">
        <v>271</v>
      </c>
      <c r="D5" s="2" t="s">
        <v>262</v>
      </c>
      <c r="E5" s="2">
        <v>36</v>
      </c>
      <c r="F5" s="15"/>
    </row>
    <row r="6" ht="20" customHeight="1" spans="1:6">
      <c r="A6" s="2">
        <v>4</v>
      </c>
      <c r="B6" s="2" t="s">
        <v>270</v>
      </c>
      <c r="C6" s="2" t="s">
        <v>272</v>
      </c>
      <c r="D6" s="2" t="s">
        <v>268</v>
      </c>
      <c r="E6" s="2">
        <v>83</v>
      </c>
      <c r="F6" s="15"/>
    </row>
    <row r="7" ht="20" customHeight="1" spans="1:6">
      <c r="A7" s="2">
        <v>5</v>
      </c>
      <c r="B7" s="2" t="s">
        <v>273</v>
      </c>
      <c r="C7" s="2" t="s">
        <v>274</v>
      </c>
      <c r="D7" s="2" t="s">
        <v>268</v>
      </c>
      <c r="E7" s="2">
        <v>238</v>
      </c>
      <c r="F7" s="15"/>
    </row>
    <row r="8" ht="20" customHeight="1" spans="1:6">
      <c r="A8" s="2">
        <v>6</v>
      </c>
      <c r="B8" s="2" t="s">
        <v>275</v>
      </c>
      <c r="C8" s="2" t="s">
        <v>276</v>
      </c>
      <c r="D8" s="2" t="s">
        <v>268</v>
      </c>
      <c r="E8" s="2">
        <v>224</v>
      </c>
      <c r="F8" s="15"/>
    </row>
    <row r="9" ht="20" customHeight="1" spans="1:6">
      <c r="A9" s="2" t="s">
        <v>265</v>
      </c>
      <c r="B9" s="2"/>
      <c r="C9" s="2"/>
      <c r="D9" s="2"/>
      <c r="E9" s="2">
        <f>SUM(E3:E8)</f>
        <v>673</v>
      </c>
      <c r="F9" s="5"/>
    </row>
  </sheetData>
  <mergeCells count="2">
    <mergeCell ref="A1:F1"/>
    <mergeCell ref="F3:F9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30"/>
  <sheetViews>
    <sheetView workbookViewId="0">
      <selection activeCell="A3" sqref="A3:F30"/>
    </sheetView>
  </sheetViews>
  <sheetFormatPr defaultColWidth="9" defaultRowHeight="13.5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277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278</v>
      </c>
      <c r="C3" s="2" t="s">
        <v>279</v>
      </c>
      <c r="D3" s="2" t="s">
        <v>268</v>
      </c>
      <c r="E3" s="2">
        <v>16</v>
      </c>
      <c r="F3" s="10" t="s">
        <v>259</v>
      </c>
    </row>
    <row r="4" ht="20" customHeight="1" spans="1:6">
      <c r="A4" s="2">
        <v>2</v>
      </c>
      <c r="B4" s="2" t="s">
        <v>278</v>
      </c>
      <c r="C4" s="2" t="s">
        <v>279</v>
      </c>
      <c r="D4" s="2" t="s">
        <v>262</v>
      </c>
      <c r="E4" s="2">
        <v>16</v>
      </c>
      <c r="F4" s="15"/>
    </row>
    <row r="5" ht="20" customHeight="1" spans="1:6">
      <c r="A5" s="2">
        <v>3</v>
      </c>
      <c r="B5" s="2" t="s">
        <v>278</v>
      </c>
      <c r="C5" s="2" t="s">
        <v>280</v>
      </c>
      <c r="D5" s="2" t="s">
        <v>268</v>
      </c>
      <c r="E5" s="2">
        <v>16</v>
      </c>
      <c r="F5" s="15"/>
    </row>
    <row r="6" ht="20" customHeight="1" spans="1:6">
      <c r="A6" s="2">
        <v>4</v>
      </c>
      <c r="B6" s="2" t="s">
        <v>278</v>
      </c>
      <c r="C6" s="2" t="s">
        <v>281</v>
      </c>
      <c r="D6" s="2" t="s">
        <v>268</v>
      </c>
      <c r="E6" s="2">
        <v>152</v>
      </c>
      <c r="F6" s="15"/>
    </row>
    <row r="7" ht="20" customHeight="1" spans="1:6">
      <c r="A7" s="2">
        <v>5</v>
      </c>
      <c r="B7" s="2" t="s">
        <v>278</v>
      </c>
      <c r="C7" s="2" t="s">
        <v>282</v>
      </c>
      <c r="D7" s="2" t="s">
        <v>262</v>
      </c>
      <c r="E7" s="2">
        <v>8</v>
      </c>
      <c r="F7" s="15"/>
    </row>
    <row r="8" ht="20" customHeight="1" spans="1:6">
      <c r="A8" s="2">
        <v>6</v>
      </c>
      <c r="B8" s="2" t="s">
        <v>278</v>
      </c>
      <c r="C8" s="2" t="s">
        <v>283</v>
      </c>
      <c r="D8" s="2" t="s">
        <v>262</v>
      </c>
      <c r="E8" s="2">
        <v>128</v>
      </c>
      <c r="F8" s="15"/>
    </row>
    <row r="9" ht="20" customHeight="1" spans="1:6">
      <c r="A9" s="2">
        <v>7</v>
      </c>
      <c r="B9" s="2" t="s">
        <v>278</v>
      </c>
      <c r="C9" s="2" t="s">
        <v>284</v>
      </c>
      <c r="D9" s="2" t="s">
        <v>268</v>
      </c>
      <c r="E9" s="2">
        <v>528</v>
      </c>
      <c r="F9" s="15"/>
    </row>
    <row r="10" ht="20" customHeight="1" spans="1:6">
      <c r="A10" s="2">
        <v>8</v>
      </c>
      <c r="B10" s="2" t="s">
        <v>278</v>
      </c>
      <c r="C10" s="2" t="s">
        <v>285</v>
      </c>
      <c r="D10" s="2" t="s">
        <v>268</v>
      </c>
      <c r="E10" s="2">
        <v>124</v>
      </c>
      <c r="F10" s="15"/>
    </row>
    <row r="11" ht="20" customHeight="1" spans="1:6">
      <c r="A11" s="2">
        <v>9</v>
      </c>
      <c r="B11" s="2" t="s">
        <v>278</v>
      </c>
      <c r="C11" s="2" t="s">
        <v>286</v>
      </c>
      <c r="D11" s="2" t="s">
        <v>262</v>
      </c>
      <c r="E11" s="2">
        <v>128</v>
      </c>
      <c r="F11" s="15"/>
    </row>
    <row r="12" ht="20" customHeight="1" spans="1:6">
      <c r="A12" s="2">
        <v>10</v>
      </c>
      <c r="B12" s="2" t="s">
        <v>278</v>
      </c>
      <c r="C12" s="2" t="s">
        <v>287</v>
      </c>
      <c r="D12" s="2" t="s">
        <v>262</v>
      </c>
      <c r="E12" s="2">
        <v>666</v>
      </c>
      <c r="F12" s="15"/>
    </row>
    <row r="13" ht="20" customHeight="1" spans="1:6">
      <c r="A13" s="2">
        <v>11</v>
      </c>
      <c r="B13" s="2" t="s">
        <v>288</v>
      </c>
      <c r="C13" s="2" t="s">
        <v>289</v>
      </c>
      <c r="D13" s="2" t="s">
        <v>268</v>
      </c>
      <c r="E13" s="2">
        <v>54</v>
      </c>
      <c r="F13" s="15"/>
    </row>
    <row r="14" ht="20" customHeight="1" spans="1:6">
      <c r="A14" s="2">
        <v>12</v>
      </c>
      <c r="B14" s="2" t="s">
        <v>288</v>
      </c>
      <c r="C14" s="2" t="s">
        <v>289</v>
      </c>
      <c r="D14" s="2" t="s">
        <v>262</v>
      </c>
      <c r="E14" s="2">
        <v>54</v>
      </c>
      <c r="F14" s="15"/>
    </row>
    <row r="15" ht="20" customHeight="1" spans="1:6">
      <c r="A15" s="2">
        <v>13</v>
      </c>
      <c r="B15" s="2" t="s">
        <v>288</v>
      </c>
      <c r="C15" s="2" t="s">
        <v>290</v>
      </c>
      <c r="D15" s="2" t="s">
        <v>268</v>
      </c>
      <c r="E15" s="2">
        <v>11</v>
      </c>
      <c r="F15" s="15"/>
    </row>
    <row r="16" ht="20" customHeight="1" spans="1:6">
      <c r="A16" s="2">
        <v>14</v>
      </c>
      <c r="B16" s="2" t="s">
        <v>288</v>
      </c>
      <c r="C16" s="2" t="s">
        <v>291</v>
      </c>
      <c r="D16" s="2" t="s">
        <v>268</v>
      </c>
      <c r="E16" s="2">
        <v>137</v>
      </c>
      <c r="F16" s="15"/>
    </row>
    <row r="17" ht="20" customHeight="1" spans="1:6">
      <c r="A17" s="2">
        <v>15</v>
      </c>
      <c r="B17" s="2" t="s">
        <v>288</v>
      </c>
      <c r="C17" s="2" t="s">
        <v>292</v>
      </c>
      <c r="D17" s="2" t="s">
        <v>268</v>
      </c>
      <c r="E17" s="2">
        <v>84</v>
      </c>
      <c r="F17" s="15"/>
    </row>
    <row r="18" ht="20" customHeight="1" spans="1:6">
      <c r="A18" s="2">
        <v>16</v>
      </c>
      <c r="B18" s="2" t="s">
        <v>288</v>
      </c>
      <c r="C18" s="2" t="s">
        <v>293</v>
      </c>
      <c r="D18" s="2" t="s">
        <v>268</v>
      </c>
      <c r="E18" s="2">
        <v>656</v>
      </c>
      <c r="F18" s="15"/>
    </row>
    <row r="19" ht="20" customHeight="1" spans="1:6">
      <c r="A19" s="2">
        <v>17</v>
      </c>
      <c r="B19" s="2" t="s">
        <v>288</v>
      </c>
      <c r="C19" s="2" t="s">
        <v>294</v>
      </c>
      <c r="D19" s="2" t="s">
        <v>262</v>
      </c>
      <c r="E19" s="2">
        <v>62</v>
      </c>
      <c r="F19" s="15"/>
    </row>
    <row r="20" ht="20" customHeight="1" spans="1:6">
      <c r="A20" s="2">
        <v>18</v>
      </c>
      <c r="B20" s="2" t="s">
        <v>288</v>
      </c>
      <c r="C20" s="2" t="s">
        <v>295</v>
      </c>
      <c r="D20" s="2" t="s">
        <v>262</v>
      </c>
      <c r="E20" s="2">
        <v>103</v>
      </c>
      <c r="F20" s="15"/>
    </row>
    <row r="21" ht="20" customHeight="1" spans="1:6">
      <c r="A21" s="2">
        <v>19</v>
      </c>
      <c r="B21" s="2" t="s">
        <v>288</v>
      </c>
      <c r="C21" s="2" t="s">
        <v>296</v>
      </c>
      <c r="D21" s="2" t="s">
        <v>262</v>
      </c>
      <c r="E21" s="2">
        <v>464</v>
      </c>
      <c r="F21" s="15"/>
    </row>
    <row r="22" ht="20" customHeight="1" spans="1:6">
      <c r="A22" s="2">
        <v>20</v>
      </c>
      <c r="B22" s="2" t="s">
        <v>288</v>
      </c>
      <c r="C22" s="2" t="s">
        <v>297</v>
      </c>
      <c r="D22" s="2" t="s">
        <v>262</v>
      </c>
      <c r="E22" s="2">
        <v>94</v>
      </c>
      <c r="F22" s="15"/>
    </row>
    <row r="23" ht="20" customHeight="1" spans="1:6">
      <c r="A23" s="2">
        <v>21</v>
      </c>
      <c r="B23" s="13" t="s">
        <v>266</v>
      </c>
      <c r="C23" s="13" t="s">
        <v>298</v>
      </c>
      <c r="D23" s="13" t="s">
        <v>268</v>
      </c>
      <c r="E23" s="13">
        <v>183</v>
      </c>
      <c r="F23" s="15"/>
    </row>
    <row r="24" ht="20" customHeight="1" spans="1:6">
      <c r="A24" s="2">
        <v>22</v>
      </c>
      <c r="B24" s="13" t="s">
        <v>266</v>
      </c>
      <c r="C24" s="13" t="s">
        <v>299</v>
      </c>
      <c r="D24" s="13" t="s">
        <v>268</v>
      </c>
      <c r="E24" s="13">
        <v>156</v>
      </c>
      <c r="F24" s="15"/>
    </row>
    <row r="25" ht="20" customHeight="1" spans="1:6">
      <c r="A25" s="2">
        <v>23</v>
      </c>
      <c r="B25" s="13" t="s">
        <v>266</v>
      </c>
      <c r="C25" s="2" t="s">
        <v>300</v>
      </c>
      <c r="D25" s="2" t="s">
        <v>262</v>
      </c>
      <c r="E25" s="2">
        <v>40</v>
      </c>
      <c r="F25" s="15"/>
    </row>
    <row r="26" ht="20" customHeight="1" spans="1:6">
      <c r="A26" s="2">
        <v>24</v>
      </c>
      <c r="B26" s="2" t="s">
        <v>270</v>
      </c>
      <c r="C26" s="2" t="s">
        <v>301</v>
      </c>
      <c r="D26" s="2" t="s">
        <v>262</v>
      </c>
      <c r="E26" s="2">
        <v>70</v>
      </c>
      <c r="F26" s="15"/>
    </row>
    <row r="27" ht="20" customHeight="1" spans="1:6">
      <c r="A27" s="2">
        <v>25</v>
      </c>
      <c r="B27" s="2" t="s">
        <v>270</v>
      </c>
      <c r="C27" s="2" t="s">
        <v>302</v>
      </c>
      <c r="D27" s="2" t="s">
        <v>268</v>
      </c>
      <c r="E27" s="2">
        <v>144</v>
      </c>
      <c r="F27" s="15"/>
    </row>
    <row r="28" ht="20" customHeight="1" spans="1:6">
      <c r="A28" s="2">
        <v>26</v>
      </c>
      <c r="B28" s="2" t="s">
        <v>273</v>
      </c>
      <c r="C28" s="2" t="s">
        <v>274</v>
      </c>
      <c r="D28" s="2" t="s">
        <v>262</v>
      </c>
      <c r="E28" s="2">
        <v>238</v>
      </c>
      <c r="F28" s="15"/>
    </row>
    <row r="29" ht="20" customHeight="1" spans="1:6">
      <c r="A29" s="2">
        <v>27</v>
      </c>
      <c r="B29" s="2" t="s">
        <v>275</v>
      </c>
      <c r="C29" s="2" t="s">
        <v>276</v>
      </c>
      <c r="D29" s="2" t="s">
        <v>262</v>
      </c>
      <c r="E29" s="2">
        <v>224</v>
      </c>
      <c r="F29" s="15"/>
    </row>
    <row r="30" ht="20" customHeight="1" spans="1:6">
      <c r="A30" s="2" t="s">
        <v>265</v>
      </c>
      <c r="B30" s="2"/>
      <c r="C30" s="2"/>
      <c r="D30" s="2"/>
      <c r="E30" s="2">
        <f>SUM(E3:E29)</f>
        <v>4556</v>
      </c>
      <c r="F30" s="5"/>
    </row>
  </sheetData>
  <mergeCells count="2">
    <mergeCell ref="A1:F1"/>
    <mergeCell ref="F3:F30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F3" sqref="F3:F5"/>
    </sheetView>
  </sheetViews>
  <sheetFormatPr defaultColWidth="9" defaultRowHeight="13.5" outlineLevelRow="4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303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305</v>
      </c>
      <c r="D3" s="2" t="s">
        <v>268</v>
      </c>
      <c r="E3" s="2">
        <v>226</v>
      </c>
      <c r="F3" s="10" t="s">
        <v>259</v>
      </c>
    </row>
    <row r="4" ht="20" customHeight="1" spans="1:6">
      <c r="A4" s="2">
        <v>2</v>
      </c>
      <c r="B4" s="2" t="s">
        <v>304</v>
      </c>
      <c r="C4" s="2" t="s">
        <v>306</v>
      </c>
      <c r="D4" s="2" t="s">
        <v>262</v>
      </c>
      <c r="E4" s="2">
        <v>234</v>
      </c>
      <c r="F4" s="15"/>
    </row>
    <row r="5" ht="20" customHeight="1" spans="1:6">
      <c r="A5" s="2" t="s">
        <v>265</v>
      </c>
      <c r="B5" s="2"/>
      <c r="C5" s="2"/>
      <c r="D5" s="2"/>
      <c r="E5" s="2">
        <f>SUM(E3:E4)</f>
        <v>460</v>
      </c>
      <c r="F5" s="5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F3" sqref="F3:F4"/>
    </sheetView>
  </sheetViews>
  <sheetFormatPr defaultColWidth="9" defaultRowHeight="13.5" outlineLevelRow="3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307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266</v>
      </c>
      <c r="C3" s="2" t="s">
        <v>267</v>
      </c>
      <c r="D3" s="2" t="s">
        <v>268</v>
      </c>
      <c r="E3" s="2">
        <v>14</v>
      </c>
      <c r="F3" s="10" t="s">
        <v>259</v>
      </c>
    </row>
    <row r="4" ht="20" customHeight="1" spans="1:6">
      <c r="A4" s="2" t="s">
        <v>265</v>
      </c>
      <c r="B4" s="2"/>
      <c r="C4" s="2"/>
      <c r="D4" s="2"/>
      <c r="E4" s="2">
        <f>SUM(E3:E3)</f>
        <v>14</v>
      </c>
      <c r="F4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3"/>
  <sheetViews>
    <sheetView workbookViewId="0">
      <selection activeCell="F3" sqref="F3:F23"/>
    </sheetView>
  </sheetViews>
  <sheetFormatPr defaultColWidth="9" defaultRowHeight="13.5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308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278</v>
      </c>
      <c r="C3" s="2" t="s">
        <v>279</v>
      </c>
      <c r="D3" s="2" t="s">
        <v>268</v>
      </c>
      <c r="E3" s="2">
        <v>14</v>
      </c>
      <c r="F3" s="10" t="s">
        <v>259</v>
      </c>
    </row>
    <row r="4" ht="20" customHeight="1" spans="1:6">
      <c r="A4" s="2">
        <v>2</v>
      </c>
      <c r="B4" s="2" t="s">
        <v>278</v>
      </c>
      <c r="C4" s="2" t="s">
        <v>279</v>
      </c>
      <c r="D4" s="2" t="s">
        <v>262</v>
      </c>
      <c r="E4" s="2">
        <v>14</v>
      </c>
      <c r="F4" s="15"/>
    </row>
    <row r="5" ht="20" customHeight="1" spans="1:6">
      <c r="A5" s="2">
        <v>3</v>
      </c>
      <c r="B5" s="2" t="s">
        <v>278</v>
      </c>
      <c r="C5" s="2" t="s">
        <v>280</v>
      </c>
      <c r="D5" s="2" t="s">
        <v>268</v>
      </c>
      <c r="E5" s="2">
        <v>14</v>
      </c>
      <c r="F5" s="15"/>
    </row>
    <row r="6" ht="20" customHeight="1" spans="1:6">
      <c r="A6" s="2">
        <v>4</v>
      </c>
      <c r="B6" s="2" t="s">
        <v>278</v>
      </c>
      <c r="C6" s="2" t="s">
        <v>282</v>
      </c>
      <c r="D6" s="2" t="s">
        <v>262</v>
      </c>
      <c r="E6" s="2">
        <v>14</v>
      </c>
      <c r="F6" s="15"/>
    </row>
    <row r="7" ht="20" customHeight="1" spans="1:6">
      <c r="A7" s="2">
        <v>5</v>
      </c>
      <c r="B7" s="2" t="s">
        <v>278</v>
      </c>
      <c r="C7" s="2" t="s">
        <v>285</v>
      </c>
      <c r="D7" s="2" t="s">
        <v>268</v>
      </c>
      <c r="E7" s="2">
        <v>14</v>
      </c>
      <c r="F7" s="15"/>
    </row>
    <row r="8" ht="20" customHeight="1" spans="1:6">
      <c r="A8" s="2">
        <v>6</v>
      </c>
      <c r="B8" s="2" t="s">
        <v>278</v>
      </c>
      <c r="C8" s="2" t="s">
        <v>287</v>
      </c>
      <c r="D8" s="2" t="s">
        <v>262</v>
      </c>
      <c r="E8" s="2">
        <v>14</v>
      </c>
      <c r="F8" s="15"/>
    </row>
    <row r="9" ht="20" customHeight="1" spans="1:6">
      <c r="A9" s="2">
        <v>7</v>
      </c>
      <c r="B9" s="2" t="s">
        <v>288</v>
      </c>
      <c r="C9" s="2" t="s">
        <v>289</v>
      </c>
      <c r="D9" s="2" t="s">
        <v>268</v>
      </c>
      <c r="E9" s="2">
        <v>14</v>
      </c>
      <c r="F9" s="15"/>
    </row>
    <row r="10" ht="20" customHeight="1" spans="1:6">
      <c r="A10" s="2">
        <v>8</v>
      </c>
      <c r="B10" s="2" t="s">
        <v>288</v>
      </c>
      <c r="C10" s="2" t="s">
        <v>289</v>
      </c>
      <c r="D10" s="2" t="s">
        <v>262</v>
      </c>
      <c r="E10" s="2">
        <v>14</v>
      </c>
      <c r="F10" s="15"/>
    </row>
    <row r="11" ht="20" customHeight="1" spans="1:6">
      <c r="A11" s="2">
        <v>9</v>
      </c>
      <c r="B11" s="2" t="s">
        <v>288</v>
      </c>
      <c r="C11" s="2" t="s">
        <v>290</v>
      </c>
      <c r="D11" s="2" t="s">
        <v>268</v>
      </c>
      <c r="E11" s="2">
        <v>14</v>
      </c>
      <c r="F11" s="15"/>
    </row>
    <row r="12" ht="20" customHeight="1" spans="1:6">
      <c r="A12" s="2">
        <v>10</v>
      </c>
      <c r="B12" s="2" t="s">
        <v>288</v>
      </c>
      <c r="C12" s="2" t="s">
        <v>293</v>
      </c>
      <c r="D12" s="2" t="s">
        <v>268</v>
      </c>
      <c r="E12" s="2">
        <v>14</v>
      </c>
      <c r="F12" s="15"/>
    </row>
    <row r="13" ht="20" customHeight="1" spans="1:6">
      <c r="A13" s="2">
        <v>11</v>
      </c>
      <c r="B13" s="2" t="s">
        <v>288</v>
      </c>
      <c r="C13" s="2" t="s">
        <v>294</v>
      </c>
      <c r="D13" s="2" t="s">
        <v>262</v>
      </c>
      <c r="E13" s="2">
        <v>14</v>
      </c>
      <c r="F13" s="15"/>
    </row>
    <row r="14" ht="20" customHeight="1" spans="1:6">
      <c r="A14" s="2">
        <v>12</v>
      </c>
      <c r="B14" s="2" t="s">
        <v>288</v>
      </c>
      <c r="C14" s="2" t="s">
        <v>297</v>
      </c>
      <c r="D14" s="2" t="s">
        <v>262</v>
      </c>
      <c r="E14" s="2">
        <v>14</v>
      </c>
      <c r="F14" s="15"/>
    </row>
    <row r="15" ht="20" customHeight="1" spans="1:6">
      <c r="A15" s="2">
        <v>13</v>
      </c>
      <c r="B15" s="2" t="s">
        <v>304</v>
      </c>
      <c r="C15" s="2" t="s">
        <v>309</v>
      </c>
      <c r="D15" s="2" t="s">
        <v>310</v>
      </c>
      <c r="E15" s="2">
        <v>56</v>
      </c>
      <c r="F15" s="15"/>
    </row>
    <row r="16" ht="20" customHeight="1" spans="1:6">
      <c r="A16" s="2">
        <v>14</v>
      </c>
      <c r="B16" s="2" t="s">
        <v>304</v>
      </c>
      <c r="C16" s="2" t="s">
        <v>305</v>
      </c>
      <c r="D16" s="2" t="s">
        <v>268</v>
      </c>
      <c r="E16" s="2">
        <v>14</v>
      </c>
      <c r="F16" s="15"/>
    </row>
    <row r="17" ht="20" customHeight="1" spans="1:6">
      <c r="A17" s="2">
        <v>15</v>
      </c>
      <c r="B17" s="2" t="s">
        <v>304</v>
      </c>
      <c r="C17" s="2" t="s">
        <v>306</v>
      </c>
      <c r="D17" s="2" t="s">
        <v>262</v>
      </c>
      <c r="E17" s="2">
        <v>14</v>
      </c>
      <c r="F17" s="15"/>
    </row>
    <row r="18" ht="20" customHeight="1" spans="1:6">
      <c r="A18" s="2">
        <v>16</v>
      </c>
      <c r="B18" s="13" t="s">
        <v>266</v>
      </c>
      <c r="C18" s="13" t="s">
        <v>298</v>
      </c>
      <c r="D18" s="13" t="s">
        <v>268</v>
      </c>
      <c r="E18" s="13">
        <v>14</v>
      </c>
      <c r="F18" s="15"/>
    </row>
    <row r="19" ht="20" customHeight="1" spans="1:6">
      <c r="A19" s="2">
        <v>17</v>
      </c>
      <c r="B19" s="13" t="s">
        <v>266</v>
      </c>
      <c r="C19" s="13" t="s">
        <v>299</v>
      </c>
      <c r="D19" s="13" t="s">
        <v>268</v>
      </c>
      <c r="E19" s="13">
        <v>14</v>
      </c>
      <c r="F19" s="15"/>
    </row>
    <row r="20" ht="20" customHeight="1" spans="1:6">
      <c r="A20" s="2">
        <v>18</v>
      </c>
      <c r="B20" s="13" t="s">
        <v>266</v>
      </c>
      <c r="C20" s="2" t="s">
        <v>300</v>
      </c>
      <c r="D20" s="2" t="s">
        <v>262</v>
      </c>
      <c r="E20" s="2">
        <v>28</v>
      </c>
      <c r="F20" s="15"/>
    </row>
    <row r="21" ht="20" customHeight="1" spans="1:6">
      <c r="A21" s="2">
        <v>19</v>
      </c>
      <c r="B21" s="2" t="s">
        <v>270</v>
      </c>
      <c r="C21" s="2" t="s">
        <v>301</v>
      </c>
      <c r="D21" s="2" t="s">
        <v>262</v>
      </c>
      <c r="E21" s="2">
        <v>28</v>
      </c>
      <c r="F21" s="15"/>
    </row>
    <row r="22" ht="20" customHeight="1" spans="1:6">
      <c r="A22" s="2">
        <v>20</v>
      </c>
      <c r="B22" s="2" t="s">
        <v>270</v>
      </c>
      <c r="C22" s="2" t="s">
        <v>302</v>
      </c>
      <c r="D22" s="2" t="s">
        <v>268</v>
      </c>
      <c r="E22" s="2">
        <v>14</v>
      </c>
      <c r="F22" s="15"/>
    </row>
    <row r="23" ht="20" customHeight="1" spans="1:6">
      <c r="A23" s="2" t="s">
        <v>265</v>
      </c>
      <c r="B23" s="2"/>
      <c r="C23" s="2"/>
      <c r="D23" s="2"/>
      <c r="E23" s="2">
        <f>SUM(E3:E22)</f>
        <v>350</v>
      </c>
      <c r="F23" s="5"/>
    </row>
  </sheetData>
  <mergeCells count="2">
    <mergeCell ref="A1:F1"/>
    <mergeCell ref="F3:F23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0"/>
  <sheetViews>
    <sheetView workbookViewId="0">
      <selection activeCell="F3" sqref="F3:F10"/>
    </sheetView>
  </sheetViews>
  <sheetFormatPr defaultColWidth="9" defaultRowHeight="13.5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311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278</v>
      </c>
      <c r="C3" s="2" t="s">
        <v>281</v>
      </c>
      <c r="D3" s="2" t="s">
        <v>268</v>
      </c>
      <c r="E3" s="2">
        <v>18</v>
      </c>
      <c r="F3" s="15" t="s">
        <v>259</v>
      </c>
    </row>
    <row r="4" ht="20" customHeight="1" spans="1:6">
      <c r="A4" s="2">
        <v>2</v>
      </c>
      <c r="B4" s="2" t="s">
        <v>278</v>
      </c>
      <c r="C4" s="2" t="s">
        <v>283</v>
      </c>
      <c r="D4" s="2" t="s">
        <v>262</v>
      </c>
      <c r="E4" s="2">
        <v>18</v>
      </c>
      <c r="F4" s="15"/>
    </row>
    <row r="5" ht="20" customHeight="1" spans="1:6">
      <c r="A5" s="2">
        <v>3</v>
      </c>
      <c r="B5" s="2" t="s">
        <v>288</v>
      </c>
      <c r="C5" s="2" t="s">
        <v>289</v>
      </c>
      <c r="D5" s="2" t="s">
        <v>268</v>
      </c>
      <c r="E5" s="2">
        <v>18</v>
      </c>
      <c r="F5" s="15"/>
    </row>
    <row r="6" ht="20" customHeight="1" spans="1:6">
      <c r="A6" s="2">
        <v>4</v>
      </c>
      <c r="B6" s="2" t="s">
        <v>288</v>
      </c>
      <c r="C6" s="2" t="s">
        <v>289</v>
      </c>
      <c r="D6" s="2" t="s">
        <v>262</v>
      </c>
      <c r="E6" s="2">
        <v>18</v>
      </c>
      <c r="F6" s="15"/>
    </row>
    <row r="7" ht="20" customHeight="1" spans="1:6">
      <c r="A7" s="2">
        <v>5</v>
      </c>
      <c r="B7" s="2" t="s">
        <v>288</v>
      </c>
      <c r="C7" s="2" t="s">
        <v>291</v>
      </c>
      <c r="D7" s="2" t="s">
        <v>268</v>
      </c>
      <c r="E7" s="2">
        <v>18</v>
      </c>
      <c r="F7" s="15"/>
    </row>
    <row r="8" ht="20" customHeight="1" spans="1:6">
      <c r="A8" s="2">
        <v>6</v>
      </c>
      <c r="B8" s="2" t="s">
        <v>288</v>
      </c>
      <c r="C8" s="2" t="s">
        <v>292</v>
      </c>
      <c r="D8" s="2" t="s">
        <v>268</v>
      </c>
      <c r="E8" s="2">
        <v>18</v>
      </c>
      <c r="F8" s="15"/>
    </row>
    <row r="9" ht="20" customHeight="1" spans="1:6">
      <c r="A9" s="2">
        <v>7</v>
      </c>
      <c r="B9" s="2" t="s">
        <v>288</v>
      </c>
      <c r="C9" s="2" t="s">
        <v>296</v>
      </c>
      <c r="D9" s="2" t="s">
        <v>262</v>
      </c>
      <c r="E9" s="2">
        <v>18</v>
      </c>
      <c r="F9" s="15"/>
    </row>
    <row r="10" ht="20" customHeight="1" spans="1:6">
      <c r="A10" s="2" t="s">
        <v>265</v>
      </c>
      <c r="B10" s="2"/>
      <c r="C10" s="2"/>
      <c r="D10" s="2"/>
      <c r="E10" s="2">
        <f>SUM(E3:E9)</f>
        <v>126</v>
      </c>
      <c r="F10" s="5"/>
    </row>
  </sheetData>
  <mergeCells count="2">
    <mergeCell ref="A1:F1"/>
    <mergeCell ref="F3:F10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8"/>
  <sheetViews>
    <sheetView workbookViewId="0">
      <selection activeCell="F3" sqref="F3:F8"/>
    </sheetView>
  </sheetViews>
  <sheetFormatPr defaultColWidth="9" defaultRowHeight="13.5" outlineLevelRow="7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312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266</v>
      </c>
      <c r="C3" s="2" t="s">
        <v>269</v>
      </c>
      <c r="D3" s="2" t="s">
        <v>262</v>
      </c>
      <c r="E3" s="2">
        <v>12</v>
      </c>
      <c r="F3" s="15" t="s">
        <v>259</v>
      </c>
    </row>
    <row r="4" ht="20" customHeight="1" spans="1:6">
      <c r="A4" s="2">
        <v>2</v>
      </c>
      <c r="B4" s="2" t="s">
        <v>270</v>
      </c>
      <c r="C4" s="2" t="s">
        <v>271</v>
      </c>
      <c r="D4" s="2" t="s">
        <v>262</v>
      </c>
      <c r="E4" s="2">
        <v>12</v>
      </c>
      <c r="F4" s="15"/>
    </row>
    <row r="5" ht="20" customHeight="1" spans="1:6">
      <c r="A5" s="2">
        <v>3</v>
      </c>
      <c r="B5" s="2" t="s">
        <v>270</v>
      </c>
      <c r="C5" s="2" t="s">
        <v>272</v>
      </c>
      <c r="D5" s="2" t="s">
        <v>268</v>
      </c>
      <c r="E5" s="2">
        <v>12</v>
      </c>
      <c r="F5" s="15"/>
    </row>
    <row r="6" ht="20" customHeight="1" spans="1:6">
      <c r="A6" s="2">
        <v>4</v>
      </c>
      <c r="B6" s="2" t="s">
        <v>273</v>
      </c>
      <c r="C6" s="2" t="s">
        <v>274</v>
      </c>
      <c r="D6" s="2" t="s">
        <v>268</v>
      </c>
      <c r="E6" s="2">
        <v>12</v>
      </c>
      <c r="F6" s="15"/>
    </row>
    <row r="7" ht="20" customHeight="1" spans="1:6">
      <c r="A7" s="2">
        <v>5</v>
      </c>
      <c r="B7" s="2" t="s">
        <v>275</v>
      </c>
      <c r="C7" s="2" t="s">
        <v>276</v>
      </c>
      <c r="D7" s="2" t="s">
        <v>268</v>
      </c>
      <c r="E7" s="2">
        <v>12</v>
      </c>
      <c r="F7" s="15"/>
    </row>
    <row r="8" ht="20" customHeight="1" spans="1:6">
      <c r="A8" s="2" t="s">
        <v>265</v>
      </c>
      <c r="B8" s="2"/>
      <c r="C8" s="2"/>
      <c r="D8" s="2"/>
      <c r="E8" s="2">
        <f>SUM(E3:E7)</f>
        <v>60</v>
      </c>
      <c r="F8" s="5"/>
    </row>
  </sheetData>
  <mergeCells count="2">
    <mergeCell ref="A1:F1"/>
    <mergeCell ref="F3:F8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7"/>
  <sheetViews>
    <sheetView workbookViewId="0">
      <selection activeCell="J5" sqref="J5"/>
    </sheetView>
  </sheetViews>
  <sheetFormatPr defaultColWidth="9" defaultRowHeight="13.5" outlineLevelRow="6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313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256</v>
      </c>
      <c r="C3" s="2" t="s">
        <v>257</v>
      </c>
      <c r="D3" s="2" t="s">
        <v>258</v>
      </c>
      <c r="E3" s="2">
        <v>24</v>
      </c>
      <c r="F3" s="15" t="s">
        <v>259</v>
      </c>
    </row>
    <row r="4" ht="20" customHeight="1" spans="1:6">
      <c r="A4" s="2">
        <v>2</v>
      </c>
      <c r="B4" s="2" t="s">
        <v>260</v>
      </c>
      <c r="C4" s="2" t="s">
        <v>261</v>
      </c>
      <c r="D4" s="2" t="s">
        <v>262</v>
      </c>
      <c r="E4" s="2">
        <v>12</v>
      </c>
      <c r="F4" s="15"/>
    </row>
    <row r="5" ht="20" customHeight="1" spans="1:6">
      <c r="A5" s="2">
        <v>3</v>
      </c>
      <c r="B5" s="2" t="s">
        <v>260</v>
      </c>
      <c r="C5" s="2" t="s">
        <v>263</v>
      </c>
      <c r="D5" s="2" t="s">
        <v>262</v>
      </c>
      <c r="E5" s="2">
        <v>24</v>
      </c>
      <c r="F5" s="15"/>
    </row>
    <row r="6" ht="20" customHeight="1" spans="1:6">
      <c r="A6" s="2">
        <v>4</v>
      </c>
      <c r="B6" s="2" t="s">
        <v>260</v>
      </c>
      <c r="C6" s="2" t="s">
        <v>264</v>
      </c>
      <c r="D6" s="2" t="s">
        <v>258</v>
      </c>
      <c r="E6" s="2">
        <v>24</v>
      </c>
      <c r="F6" s="15"/>
    </row>
    <row r="7" ht="20" customHeight="1" spans="1:6">
      <c r="A7" s="2" t="s">
        <v>265</v>
      </c>
      <c r="B7" s="2"/>
      <c r="C7" s="2"/>
      <c r="D7" s="2"/>
      <c r="E7" s="2">
        <f>SUM(E3:E6)</f>
        <v>84</v>
      </c>
      <c r="F7" s="5"/>
    </row>
  </sheetData>
  <mergeCells count="2">
    <mergeCell ref="A1:F1"/>
    <mergeCell ref="F3:F7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5"/>
  <sheetViews>
    <sheetView topLeftCell="A3" workbookViewId="0">
      <selection activeCell="F3" sqref="F3:F15"/>
    </sheetView>
  </sheetViews>
  <sheetFormatPr defaultColWidth="9" defaultRowHeight="13.5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277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6</v>
      </c>
      <c r="B3" s="2" t="s">
        <v>278</v>
      </c>
      <c r="C3" s="2" t="s">
        <v>283</v>
      </c>
      <c r="D3" s="2" t="s">
        <v>262</v>
      </c>
      <c r="E3" s="2">
        <v>12</v>
      </c>
      <c r="F3" s="15" t="s">
        <v>259</v>
      </c>
    </row>
    <row r="4" ht="20" customHeight="1" spans="1:6">
      <c r="A4" s="2">
        <v>7</v>
      </c>
      <c r="B4" s="2" t="s">
        <v>278</v>
      </c>
      <c r="C4" s="2" t="s">
        <v>284</v>
      </c>
      <c r="D4" s="2" t="s">
        <v>268</v>
      </c>
      <c r="E4" s="2">
        <v>12</v>
      </c>
      <c r="F4" s="15"/>
    </row>
    <row r="5" ht="20" customHeight="1" spans="1:6">
      <c r="A5" s="2">
        <v>8</v>
      </c>
      <c r="B5" s="2" t="s">
        <v>278</v>
      </c>
      <c r="C5" s="2" t="s">
        <v>285</v>
      </c>
      <c r="D5" s="2" t="s">
        <v>268</v>
      </c>
      <c r="E5" s="2">
        <v>12</v>
      </c>
      <c r="F5" s="15"/>
    </row>
    <row r="6" ht="20" customHeight="1" spans="1:6">
      <c r="A6" s="2">
        <v>9</v>
      </c>
      <c r="B6" s="2" t="s">
        <v>278</v>
      </c>
      <c r="C6" s="2" t="s">
        <v>286</v>
      </c>
      <c r="D6" s="2" t="s">
        <v>262</v>
      </c>
      <c r="E6" s="2">
        <v>12</v>
      </c>
      <c r="F6" s="15"/>
    </row>
    <row r="7" ht="20" customHeight="1" spans="1:6">
      <c r="A7" s="2">
        <v>15</v>
      </c>
      <c r="B7" s="2" t="s">
        <v>288</v>
      </c>
      <c r="C7" s="2" t="s">
        <v>292</v>
      </c>
      <c r="D7" s="2" t="s">
        <v>268</v>
      </c>
      <c r="E7" s="2">
        <v>12</v>
      </c>
      <c r="F7" s="15"/>
    </row>
    <row r="8" ht="20" customHeight="1" spans="1:6">
      <c r="A8" s="2">
        <v>18</v>
      </c>
      <c r="B8" s="2" t="s">
        <v>288</v>
      </c>
      <c r="C8" s="2" t="s">
        <v>295</v>
      </c>
      <c r="D8" s="2" t="s">
        <v>262</v>
      </c>
      <c r="E8" s="2">
        <v>12</v>
      </c>
      <c r="F8" s="15"/>
    </row>
    <row r="9" ht="20" customHeight="1" spans="1:6">
      <c r="A9" s="2">
        <v>19</v>
      </c>
      <c r="B9" s="2" t="s">
        <v>288</v>
      </c>
      <c r="C9" s="2" t="s">
        <v>296</v>
      </c>
      <c r="D9" s="2" t="s">
        <v>262</v>
      </c>
      <c r="E9" s="2">
        <v>12</v>
      </c>
      <c r="F9" s="15"/>
    </row>
    <row r="10" ht="20" customHeight="1" spans="1:6">
      <c r="A10" s="2">
        <v>20</v>
      </c>
      <c r="B10" s="2" t="s">
        <v>288</v>
      </c>
      <c r="C10" s="2" t="s">
        <v>297</v>
      </c>
      <c r="D10" s="2" t="s">
        <v>262</v>
      </c>
      <c r="E10" s="2">
        <v>12</v>
      </c>
      <c r="F10" s="15"/>
    </row>
    <row r="11" ht="20" customHeight="1" spans="1:6">
      <c r="A11" s="2">
        <v>23</v>
      </c>
      <c r="B11" s="16" t="s">
        <v>266</v>
      </c>
      <c r="C11" s="2" t="s">
        <v>300</v>
      </c>
      <c r="D11" s="2" t="s">
        <v>262</v>
      </c>
      <c r="E11" s="2">
        <v>12</v>
      </c>
      <c r="F11" s="15"/>
    </row>
    <row r="12" ht="20" customHeight="1" spans="1:6">
      <c r="A12" s="2">
        <v>24</v>
      </c>
      <c r="B12" s="2" t="s">
        <v>270</v>
      </c>
      <c r="C12" s="2" t="s">
        <v>301</v>
      </c>
      <c r="D12" s="2" t="s">
        <v>262</v>
      </c>
      <c r="E12" s="2">
        <v>12</v>
      </c>
      <c r="F12" s="15"/>
    </row>
    <row r="13" ht="20" customHeight="1" spans="1:6">
      <c r="A13" s="2">
        <v>26</v>
      </c>
      <c r="B13" s="2" t="s">
        <v>273</v>
      </c>
      <c r="C13" s="2" t="s">
        <v>274</v>
      </c>
      <c r="D13" s="2" t="s">
        <v>262</v>
      </c>
      <c r="E13" s="2">
        <v>12</v>
      </c>
      <c r="F13" s="15"/>
    </row>
    <row r="14" ht="20" customHeight="1" spans="1:6">
      <c r="A14" s="2">
        <v>27</v>
      </c>
      <c r="B14" s="2" t="s">
        <v>275</v>
      </c>
      <c r="C14" s="2" t="s">
        <v>276</v>
      </c>
      <c r="D14" s="2" t="s">
        <v>262</v>
      </c>
      <c r="E14" s="2">
        <v>24</v>
      </c>
      <c r="F14" s="15"/>
    </row>
    <row r="15" ht="20" customHeight="1" spans="1:6">
      <c r="A15" s="2" t="s">
        <v>265</v>
      </c>
      <c r="B15" s="2"/>
      <c r="C15" s="2"/>
      <c r="D15" s="2"/>
      <c r="E15" s="2">
        <f>SUM(E3:E14)</f>
        <v>156</v>
      </c>
      <c r="F15" s="5"/>
    </row>
  </sheetData>
  <mergeCells count="2">
    <mergeCell ref="A1:F1"/>
    <mergeCell ref="F3:F15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K9" sqref="K9"/>
    </sheetView>
  </sheetViews>
  <sheetFormatPr defaultColWidth="9" defaultRowHeight="13.5" outlineLevelRow="3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314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316</v>
      </c>
      <c r="D3" s="2" t="s">
        <v>268</v>
      </c>
      <c r="E3" s="2">
        <v>1</v>
      </c>
      <c r="F3" s="10" t="s">
        <v>317</v>
      </c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F3" sqref="F3:F4"/>
    </sheetView>
  </sheetViews>
  <sheetFormatPr defaultColWidth="9" defaultRowHeight="13.5" outlineLevelRow="3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318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309</v>
      </c>
      <c r="D3" s="2" t="s">
        <v>310</v>
      </c>
      <c r="E3" s="2">
        <v>624</v>
      </c>
      <c r="F3" s="10" t="s">
        <v>259</v>
      </c>
    </row>
    <row r="4" ht="20" customHeight="1" spans="1:6">
      <c r="A4" s="2" t="s">
        <v>265</v>
      </c>
      <c r="B4" s="2"/>
      <c r="C4" s="2"/>
      <c r="D4" s="2"/>
      <c r="E4" s="2">
        <f>SUM(E3:E3)</f>
        <v>624</v>
      </c>
      <c r="F4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A3" sqref="A3:A4"/>
    </sheetView>
  </sheetViews>
  <sheetFormatPr defaultColWidth="9" defaultRowHeight="13.5" outlineLevelRow="4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319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278</v>
      </c>
      <c r="C3" s="2" t="s">
        <v>320</v>
      </c>
      <c r="D3" s="2" t="s">
        <v>262</v>
      </c>
      <c r="E3" s="2">
        <v>40</v>
      </c>
      <c r="F3" s="10" t="s">
        <v>259</v>
      </c>
    </row>
    <row r="4" ht="20" customHeight="1" spans="1:6">
      <c r="A4" s="2">
        <v>2</v>
      </c>
      <c r="B4" s="2" t="s">
        <v>278</v>
      </c>
      <c r="C4" s="2" t="s">
        <v>321</v>
      </c>
      <c r="D4" s="2" t="s">
        <v>262</v>
      </c>
      <c r="E4" s="2">
        <v>40</v>
      </c>
      <c r="F4" s="9"/>
    </row>
    <row r="5" ht="20" customHeight="1" spans="1:6">
      <c r="A5" s="2" t="s">
        <v>265</v>
      </c>
      <c r="B5" s="2"/>
      <c r="C5" s="2"/>
      <c r="D5" s="2"/>
      <c r="E5" s="2">
        <f>SUM(E3:E3)</f>
        <v>40</v>
      </c>
      <c r="F5" s="5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32"/>
  <sheetViews>
    <sheetView workbookViewId="0">
      <selection activeCell="B22" sqref="B22:D23"/>
    </sheetView>
  </sheetViews>
  <sheetFormatPr defaultColWidth="9" defaultRowHeight="13.5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322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278</v>
      </c>
      <c r="C3" s="2" t="s">
        <v>279</v>
      </c>
      <c r="D3" s="2" t="s">
        <v>268</v>
      </c>
      <c r="E3" s="2">
        <v>1</v>
      </c>
      <c r="F3" s="10" t="s">
        <v>259</v>
      </c>
    </row>
    <row r="4" ht="20" customHeight="1" spans="1:6">
      <c r="A4" s="2">
        <v>2</v>
      </c>
      <c r="B4" s="2" t="s">
        <v>278</v>
      </c>
      <c r="C4" s="2" t="s">
        <v>279</v>
      </c>
      <c r="D4" s="2" t="s">
        <v>262</v>
      </c>
      <c r="E4" s="2">
        <v>1</v>
      </c>
      <c r="F4" s="15"/>
    </row>
    <row r="5" ht="20" customHeight="1" spans="1:6">
      <c r="A5" s="2">
        <v>3</v>
      </c>
      <c r="B5" s="2" t="s">
        <v>278</v>
      </c>
      <c r="C5" s="2" t="s">
        <v>280</v>
      </c>
      <c r="D5" s="2" t="s">
        <v>268</v>
      </c>
      <c r="E5" s="2">
        <v>2</v>
      </c>
      <c r="F5" s="15"/>
    </row>
    <row r="6" ht="20" customHeight="1" spans="1:6">
      <c r="A6" s="2">
        <v>4</v>
      </c>
      <c r="B6" s="2" t="s">
        <v>278</v>
      </c>
      <c r="C6" s="2" t="s">
        <v>281</v>
      </c>
      <c r="D6" s="2" t="s">
        <v>268</v>
      </c>
      <c r="E6" s="2">
        <v>2</v>
      </c>
      <c r="F6" s="15"/>
    </row>
    <row r="7" ht="20" customHeight="1" spans="1:6">
      <c r="A7" s="2">
        <v>5</v>
      </c>
      <c r="B7" s="2" t="s">
        <v>278</v>
      </c>
      <c r="C7" s="2" t="s">
        <v>282</v>
      </c>
      <c r="D7" s="2" t="s">
        <v>262</v>
      </c>
      <c r="E7" s="2">
        <v>1</v>
      </c>
      <c r="F7" s="15"/>
    </row>
    <row r="8" ht="20" customHeight="1" spans="1:6">
      <c r="A8" s="2">
        <v>6</v>
      </c>
      <c r="B8" s="2" t="s">
        <v>278</v>
      </c>
      <c r="C8" s="2" t="s">
        <v>283</v>
      </c>
      <c r="D8" s="2" t="s">
        <v>262</v>
      </c>
      <c r="E8" s="2">
        <v>1</v>
      </c>
      <c r="F8" s="15"/>
    </row>
    <row r="9" spans="1:6">
      <c r="A9" s="2">
        <v>7</v>
      </c>
      <c r="B9" s="2" t="s">
        <v>278</v>
      </c>
      <c r="C9" s="2" t="s">
        <v>285</v>
      </c>
      <c r="D9" s="2" t="s">
        <v>268</v>
      </c>
      <c r="E9" s="2">
        <v>1</v>
      </c>
      <c r="F9" s="15"/>
    </row>
    <row r="10" spans="1:6">
      <c r="A10" s="2">
        <v>8</v>
      </c>
      <c r="B10" s="2" t="s">
        <v>278</v>
      </c>
      <c r="C10" s="2" t="s">
        <v>287</v>
      </c>
      <c r="D10" s="2" t="s">
        <v>262</v>
      </c>
      <c r="E10" s="2">
        <v>1</v>
      </c>
      <c r="F10" s="15"/>
    </row>
    <row r="11" spans="1:6">
      <c r="A11" s="2">
        <v>9</v>
      </c>
      <c r="B11" s="2" t="s">
        <v>288</v>
      </c>
      <c r="C11" s="2" t="s">
        <v>289</v>
      </c>
      <c r="D11" s="2" t="s">
        <v>268</v>
      </c>
      <c r="E11" s="2">
        <v>2</v>
      </c>
      <c r="F11" s="15"/>
    </row>
    <row r="12" spans="1:6">
      <c r="A12" s="2">
        <v>10</v>
      </c>
      <c r="B12" s="2" t="s">
        <v>288</v>
      </c>
      <c r="C12" s="2" t="s">
        <v>289</v>
      </c>
      <c r="D12" s="2" t="s">
        <v>262</v>
      </c>
      <c r="E12" s="2">
        <v>2</v>
      </c>
      <c r="F12" s="15"/>
    </row>
    <row r="13" spans="1:6">
      <c r="A13" s="2">
        <v>11</v>
      </c>
      <c r="B13" s="2" t="s">
        <v>288</v>
      </c>
      <c r="C13" s="2" t="s">
        <v>290</v>
      </c>
      <c r="D13" s="2" t="s">
        <v>268</v>
      </c>
      <c r="E13" s="2">
        <v>1</v>
      </c>
      <c r="F13" s="15"/>
    </row>
    <row r="14" spans="1:6">
      <c r="A14" s="2">
        <v>12</v>
      </c>
      <c r="B14" s="2" t="s">
        <v>288</v>
      </c>
      <c r="C14" s="2" t="s">
        <v>291</v>
      </c>
      <c r="D14" s="2" t="s">
        <v>268</v>
      </c>
      <c r="E14" s="2">
        <v>1</v>
      </c>
      <c r="F14" s="15"/>
    </row>
    <row r="15" spans="1:6">
      <c r="A15" s="2">
        <v>13</v>
      </c>
      <c r="B15" s="2" t="s">
        <v>288</v>
      </c>
      <c r="C15" s="2" t="s">
        <v>292</v>
      </c>
      <c r="D15" s="2" t="s">
        <v>268</v>
      </c>
      <c r="E15" s="2">
        <v>1</v>
      </c>
      <c r="F15" s="15"/>
    </row>
    <row r="16" spans="1:6">
      <c r="A16" s="2">
        <v>14</v>
      </c>
      <c r="B16" s="2" t="s">
        <v>288</v>
      </c>
      <c r="C16" s="2" t="s">
        <v>293</v>
      </c>
      <c r="D16" s="2" t="s">
        <v>268</v>
      </c>
      <c r="E16" s="2">
        <v>1</v>
      </c>
      <c r="F16" s="15"/>
    </row>
    <row r="17" spans="1:6">
      <c r="A17" s="2">
        <v>15</v>
      </c>
      <c r="B17" s="2" t="s">
        <v>288</v>
      </c>
      <c r="C17" s="2" t="s">
        <v>294</v>
      </c>
      <c r="D17" s="2" t="s">
        <v>262</v>
      </c>
      <c r="E17" s="2">
        <v>1</v>
      </c>
      <c r="F17" s="15"/>
    </row>
    <row r="18" spans="1:6">
      <c r="A18" s="2">
        <v>16</v>
      </c>
      <c r="B18" s="2" t="s">
        <v>288</v>
      </c>
      <c r="C18" s="2" t="s">
        <v>295</v>
      </c>
      <c r="D18" s="2" t="s">
        <v>262</v>
      </c>
      <c r="E18" s="2">
        <v>1</v>
      </c>
      <c r="F18" s="15"/>
    </row>
    <row r="19" spans="1:6">
      <c r="A19" s="2">
        <v>17</v>
      </c>
      <c r="B19" s="2" t="s">
        <v>288</v>
      </c>
      <c r="C19" s="2" t="s">
        <v>296</v>
      </c>
      <c r="D19" s="2" t="s">
        <v>262</v>
      </c>
      <c r="E19" s="2">
        <v>1</v>
      </c>
      <c r="F19" s="15"/>
    </row>
    <row r="20" spans="1:6">
      <c r="A20" s="2">
        <v>18</v>
      </c>
      <c r="B20" s="2" t="s">
        <v>288</v>
      </c>
      <c r="C20" s="2" t="s">
        <v>297</v>
      </c>
      <c r="D20" s="2" t="s">
        <v>262</v>
      </c>
      <c r="E20" s="2">
        <v>1</v>
      </c>
      <c r="F20" s="15"/>
    </row>
    <row r="21" spans="1:6">
      <c r="A21" s="2">
        <v>19</v>
      </c>
      <c r="B21" s="2" t="s">
        <v>304</v>
      </c>
      <c r="C21" s="2" t="s">
        <v>323</v>
      </c>
      <c r="D21" s="2" t="s">
        <v>310</v>
      </c>
      <c r="E21" s="2">
        <v>2</v>
      </c>
      <c r="F21" s="15"/>
    </row>
    <row r="22" spans="1:6">
      <c r="A22" s="2">
        <v>20</v>
      </c>
      <c r="B22" s="2" t="s">
        <v>304</v>
      </c>
      <c r="C22" s="2" t="s">
        <v>324</v>
      </c>
      <c r="D22" s="2" t="s">
        <v>268</v>
      </c>
      <c r="E22" s="2">
        <v>1</v>
      </c>
      <c r="F22" s="15"/>
    </row>
    <row r="23" spans="1:6">
      <c r="A23" s="2">
        <v>21</v>
      </c>
      <c r="B23" s="2" t="s">
        <v>304</v>
      </c>
      <c r="C23" s="2" t="s">
        <v>306</v>
      </c>
      <c r="D23" s="2" t="s">
        <v>262</v>
      </c>
      <c r="E23" s="2">
        <v>1</v>
      </c>
      <c r="F23" s="15"/>
    </row>
    <row r="24" spans="1:6">
      <c r="A24" s="2">
        <v>22</v>
      </c>
      <c r="B24" s="13" t="s">
        <v>266</v>
      </c>
      <c r="C24" s="13" t="s">
        <v>298</v>
      </c>
      <c r="D24" s="13" t="s">
        <v>268</v>
      </c>
      <c r="E24" s="13">
        <v>1</v>
      </c>
      <c r="F24" s="15"/>
    </row>
    <row r="25" spans="1:6">
      <c r="A25" s="2">
        <v>23</v>
      </c>
      <c r="B25" s="13" t="s">
        <v>266</v>
      </c>
      <c r="C25" s="13" t="s">
        <v>299</v>
      </c>
      <c r="D25" s="13" t="s">
        <v>268</v>
      </c>
      <c r="E25" s="13">
        <v>1</v>
      </c>
      <c r="F25" s="15"/>
    </row>
    <row r="26" spans="1:6">
      <c r="A26" s="2">
        <v>24</v>
      </c>
      <c r="B26" s="11" t="s">
        <v>266</v>
      </c>
      <c r="C26" s="11" t="s">
        <v>267</v>
      </c>
      <c r="D26" s="11" t="s">
        <v>268</v>
      </c>
      <c r="E26" s="11">
        <v>1</v>
      </c>
      <c r="F26" s="15"/>
    </row>
    <row r="27" spans="1:6">
      <c r="A27" s="2">
        <v>25</v>
      </c>
      <c r="B27" s="2" t="s">
        <v>270</v>
      </c>
      <c r="C27" s="2" t="s">
        <v>302</v>
      </c>
      <c r="D27" s="2" t="s">
        <v>268</v>
      </c>
      <c r="E27" s="2">
        <v>1</v>
      </c>
      <c r="F27" s="15"/>
    </row>
    <row r="28" spans="1:6">
      <c r="A28" s="2">
        <v>26</v>
      </c>
      <c r="B28" s="2" t="s">
        <v>256</v>
      </c>
      <c r="C28" s="2" t="s">
        <v>257</v>
      </c>
      <c r="D28" s="2" t="s">
        <v>258</v>
      </c>
      <c r="E28" s="2">
        <v>4</v>
      </c>
      <c r="F28" s="15"/>
    </row>
    <row r="29" spans="1:6">
      <c r="A29" s="2">
        <v>27</v>
      </c>
      <c r="B29" s="2" t="s">
        <v>260</v>
      </c>
      <c r="C29" s="2" t="s">
        <v>261</v>
      </c>
      <c r="D29" s="2" t="s">
        <v>262</v>
      </c>
      <c r="E29" s="2">
        <v>2</v>
      </c>
      <c r="F29" s="15"/>
    </row>
    <row r="30" spans="1:6">
      <c r="A30" s="2">
        <v>28</v>
      </c>
      <c r="B30" s="2" t="s">
        <v>260</v>
      </c>
      <c r="C30" s="2" t="s">
        <v>263</v>
      </c>
      <c r="D30" s="2" t="s">
        <v>262</v>
      </c>
      <c r="E30" s="2">
        <v>2</v>
      </c>
      <c r="F30" s="15"/>
    </row>
    <row r="31" spans="1:6">
      <c r="A31" s="2">
        <v>29</v>
      </c>
      <c r="B31" s="2" t="s">
        <v>260</v>
      </c>
      <c r="C31" s="2" t="s">
        <v>264</v>
      </c>
      <c r="D31" s="2" t="s">
        <v>258</v>
      </c>
      <c r="E31" s="2">
        <v>2</v>
      </c>
      <c r="F31" s="15"/>
    </row>
    <row r="32" spans="1:6">
      <c r="A32" s="2" t="s">
        <v>265</v>
      </c>
      <c r="B32" s="2"/>
      <c r="C32" s="2"/>
      <c r="D32" s="2"/>
      <c r="E32" s="2">
        <f>SUM(E3:E31)</f>
        <v>40</v>
      </c>
      <c r="F32" s="5"/>
    </row>
  </sheetData>
  <mergeCells count="2">
    <mergeCell ref="A1:F1"/>
    <mergeCell ref="F3:F32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36"/>
  <sheetViews>
    <sheetView workbookViewId="0">
      <selection activeCell="E2" sqref="E2"/>
    </sheetView>
  </sheetViews>
  <sheetFormatPr defaultColWidth="9" defaultRowHeight="13.5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325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278</v>
      </c>
      <c r="C3" s="2" t="s">
        <v>279</v>
      </c>
      <c r="D3" s="2" t="s">
        <v>268</v>
      </c>
      <c r="E3" s="2">
        <v>1</v>
      </c>
      <c r="F3" s="10" t="s">
        <v>259</v>
      </c>
    </row>
    <row r="4" ht="20" customHeight="1" spans="1:6">
      <c r="A4" s="2">
        <v>2</v>
      </c>
      <c r="B4" s="2" t="s">
        <v>278</v>
      </c>
      <c r="C4" s="2" t="s">
        <v>279</v>
      </c>
      <c r="D4" s="2" t="s">
        <v>262</v>
      </c>
      <c r="E4" s="2">
        <v>1</v>
      </c>
      <c r="F4" s="15"/>
    </row>
    <row r="5" ht="20" customHeight="1" spans="1:6">
      <c r="A5" s="2">
        <v>3</v>
      </c>
      <c r="B5" s="2" t="s">
        <v>278</v>
      </c>
      <c r="C5" s="2" t="s">
        <v>280</v>
      </c>
      <c r="D5" s="2" t="s">
        <v>268</v>
      </c>
      <c r="E5" s="2">
        <v>2</v>
      </c>
      <c r="F5" s="15"/>
    </row>
    <row r="6" ht="20" customHeight="1" spans="1:6">
      <c r="A6" s="2">
        <v>4</v>
      </c>
      <c r="B6" s="2" t="s">
        <v>278</v>
      </c>
      <c r="C6" s="2" t="s">
        <v>281</v>
      </c>
      <c r="D6" s="2" t="s">
        <v>268</v>
      </c>
      <c r="E6" s="2">
        <v>2</v>
      </c>
      <c r="F6" s="15"/>
    </row>
    <row r="7" ht="20" customHeight="1" spans="1:6">
      <c r="A7" s="2">
        <v>5</v>
      </c>
      <c r="B7" s="2" t="s">
        <v>278</v>
      </c>
      <c r="C7" s="2" t="s">
        <v>282</v>
      </c>
      <c r="D7" s="2" t="s">
        <v>262</v>
      </c>
      <c r="E7" s="2">
        <v>1</v>
      </c>
      <c r="F7" s="15"/>
    </row>
    <row r="8" ht="20" customHeight="1" spans="1:6">
      <c r="A8" s="2">
        <v>6</v>
      </c>
      <c r="B8" s="2" t="s">
        <v>278</v>
      </c>
      <c r="C8" s="2" t="s">
        <v>283</v>
      </c>
      <c r="D8" s="2" t="s">
        <v>262</v>
      </c>
      <c r="E8" s="2">
        <v>1</v>
      </c>
      <c r="F8" s="15"/>
    </row>
    <row r="9" ht="20" customHeight="1" spans="1:6">
      <c r="A9" s="2">
        <v>7</v>
      </c>
      <c r="B9" s="2" t="s">
        <v>278</v>
      </c>
      <c r="C9" s="2" t="s">
        <v>284</v>
      </c>
      <c r="D9" s="2" t="s">
        <v>268</v>
      </c>
      <c r="E9" s="2">
        <v>2</v>
      </c>
      <c r="F9" s="15"/>
    </row>
    <row r="10" ht="20" customHeight="1" spans="1:6">
      <c r="A10" s="2">
        <v>8</v>
      </c>
      <c r="B10" s="2" t="s">
        <v>278</v>
      </c>
      <c r="C10" s="2" t="s">
        <v>285</v>
      </c>
      <c r="D10" s="2" t="s">
        <v>268</v>
      </c>
      <c r="E10" s="2">
        <v>1</v>
      </c>
      <c r="F10" s="15"/>
    </row>
    <row r="11" ht="20" customHeight="1" spans="1:6">
      <c r="A11" s="2">
        <v>9</v>
      </c>
      <c r="B11" s="2" t="s">
        <v>278</v>
      </c>
      <c r="C11" s="2" t="s">
        <v>286</v>
      </c>
      <c r="D11" s="2" t="s">
        <v>262</v>
      </c>
      <c r="E11" s="2">
        <v>1</v>
      </c>
      <c r="F11" s="15"/>
    </row>
    <row r="12" ht="20" customHeight="1" spans="1:6">
      <c r="A12" s="2">
        <v>10</v>
      </c>
      <c r="B12" s="2" t="s">
        <v>278</v>
      </c>
      <c r="C12" s="2" t="s">
        <v>287</v>
      </c>
      <c r="D12" s="2" t="s">
        <v>262</v>
      </c>
      <c r="E12" s="2">
        <v>1</v>
      </c>
      <c r="F12" s="15"/>
    </row>
    <row r="13" ht="20" customHeight="1" spans="1:6">
      <c r="A13" s="2">
        <v>11</v>
      </c>
      <c r="B13" s="2" t="s">
        <v>288</v>
      </c>
      <c r="C13" s="2" t="s">
        <v>289</v>
      </c>
      <c r="D13" s="2" t="s">
        <v>268</v>
      </c>
      <c r="E13" s="2">
        <v>2</v>
      </c>
      <c r="F13" s="15"/>
    </row>
    <row r="14" ht="20" customHeight="1" spans="1:6">
      <c r="A14" s="2">
        <v>12</v>
      </c>
      <c r="B14" s="2" t="s">
        <v>288</v>
      </c>
      <c r="C14" s="2" t="s">
        <v>289</v>
      </c>
      <c r="D14" s="2" t="s">
        <v>262</v>
      </c>
      <c r="E14" s="2">
        <v>2</v>
      </c>
      <c r="F14" s="15"/>
    </row>
    <row r="15" ht="20" customHeight="1" spans="1:6">
      <c r="A15" s="2">
        <v>13</v>
      </c>
      <c r="B15" s="2" t="s">
        <v>288</v>
      </c>
      <c r="C15" s="2" t="s">
        <v>290</v>
      </c>
      <c r="D15" s="2" t="s">
        <v>268</v>
      </c>
      <c r="E15" s="2">
        <v>1</v>
      </c>
      <c r="F15" s="15"/>
    </row>
    <row r="16" ht="20" customHeight="1" spans="1:6">
      <c r="A16" s="2">
        <v>14</v>
      </c>
      <c r="B16" s="2" t="s">
        <v>288</v>
      </c>
      <c r="C16" s="2" t="s">
        <v>291</v>
      </c>
      <c r="D16" s="2" t="s">
        <v>268</v>
      </c>
      <c r="E16" s="2">
        <v>1</v>
      </c>
      <c r="F16" s="15"/>
    </row>
    <row r="17" ht="20" customHeight="1" spans="1:6">
      <c r="A17" s="2">
        <v>15</v>
      </c>
      <c r="B17" s="2" t="s">
        <v>288</v>
      </c>
      <c r="C17" s="2" t="s">
        <v>292</v>
      </c>
      <c r="D17" s="2" t="s">
        <v>268</v>
      </c>
      <c r="E17" s="2">
        <v>1</v>
      </c>
      <c r="F17" s="15"/>
    </row>
    <row r="18" ht="20" customHeight="1" spans="1:6">
      <c r="A18" s="2">
        <v>16</v>
      </c>
      <c r="B18" s="2" t="s">
        <v>288</v>
      </c>
      <c r="C18" s="2" t="s">
        <v>293</v>
      </c>
      <c r="D18" s="2" t="s">
        <v>268</v>
      </c>
      <c r="E18" s="2">
        <v>1</v>
      </c>
      <c r="F18" s="15"/>
    </row>
    <row r="19" ht="20" customHeight="1" spans="1:6">
      <c r="A19" s="2">
        <v>17</v>
      </c>
      <c r="B19" s="2" t="s">
        <v>288</v>
      </c>
      <c r="C19" s="2" t="s">
        <v>294</v>
      </c>
      <c r="D19" s="2" t="s">
        <v>262</v>
      </c>
      <c r="E19" s="2">
        <v>2</v>
      </c>
      <c r="F19" s="15"/>
    </row>
    <row r="20" ht="20" customHeight="1" spans="1:6">
      <c r="A20" s="2">
        <v>18</v>
      </c>
      <c r="B20" s="2" t="s">
        <v>288</v>
      </c>
      <c r="C20" s="2" t="s">
        <v>295</v>
      </c>
      <c r="D20" s="2" t="s">
        <v>262</v>
      </c>
      <c r="E20" s="2">
        <v>2</v>
      </c>
      <c r="F20" s="15"/>
    </row>
    <row r="21" ht="20" customHeight="1" spans="1:6">
      <c r="A21" s="2">
        <v>19</v>
      </c>
      <c r="B21" s="2" t="s">
        <v>288</v>
      </c>
      <c r="C21" s="2" t="s">
        <v>296</v>
      </c>
      <c r="D21" s="2" t="s">
        <v>262</v>
      </c>
      <c r="E21" s="2">
        <v>1</v>
      </c>
      <c r="F21" s="15"/>
    </row>
    <row r="22" ht="20" customHeight="1" spans="1:6">
      <c r="A22" s="2">
        <v>20</v>
      </c>
      <c r="B22" s="2" t="s">
        <v>288</v>
      </c>
      <c r="C22" s="2" t="s">
        <v>297</v>
      </c>
      <c r="D22" s="2" t="s">
        <v>262</v>
      </c>
      <c r="E22" s="2">
        <v>1</v>
      </c>
      <c r="F22" s="15"/>
    </row>
    <row r="23" ht="20" customHeight="1" spans="1:6">
      <c r="A23" s="2">
        <v>21</v>
      </c>
      <c r="B23" s="13" t="s">
        <v>266</v>
      </c>
      <c r="C23" s="13" t="s">
        <v>298</v>
      </c>
      <c r="D23" s="13" t="s">
        <v>268</v>
      </c>
      <c r="E23" s="13">
        <v>1</v>
      </c>
      <c r="F23" s="15"/>
    </row>
    <row r="24" ht="20" customHeight="1" spans="1:6">
      <c r="A24" s="2">
        <v>22</v>
      </c>
      <c r="B24" s="13" t="s">
        <v>266</v>
      </c>
      <c r="C24" s="13" t="s">
        <v>299</v>
      </c>
      <c r="D24" s="13" t="s">
        <v>268</v>
      </c>
      <c r="E24" s="13">
        <v>1</v>
      </c>
      <c r="F24" s="15"/>
    </row>
    <row r="25" ht="20" customHeight="1" spans="1:6">
      <c r="A25" s="2">
        <v>23</v>
      </c>
      <c r="B25" s="11" t="s">
        <v>266</v>
      </c>
      <c r="C25" s="11" t="s">
        <v>267</v>
      </c>
      <c r="D25" s="11" t="s">
        <v>268</v>
      </c>
      <c r="E25" s="11">
        <v>1</v>
      </c>
      <c r="F25" s="15"/>
    </row>
    <row r="26" ht="20" customHeight="1" spans="1:6">
      <c r="A26" s="2">
        <v>24</v>
      </c>
      <c r="B26" s="11" t="s">
        <v>266</v>
      </c>
      <c r="C26" s="11" t="s">
        <v>269</v>
      </c>
      <c r="D26" s="11" t="s">
        <v>262</v>
      </c>
      <c r="E26" s="11">
        <v>1</v>
      </c>
      <c r="F26" s="15"/>
    </row>
    <row r="27" ht="20" customHeight="1" spans="1:6">
      <c r="A27" s="2">
        <v>25</v>
      </c>
      <c r="B27" s="11" t="s">
        <v>266</v>
      </c>
      <c r="C27" s="2" t="s">
        <v>300</v>
      </c>
      <c r="D27" s="2" t="s">
        <v>262</v>
      </c>
      <c r="E27" s="2">
        <v>2</v>
      </c>
      <c r="F27" s="15"/>
    </row>
    <row r="28" ht="20" customHeight="1" spans="1:6">
      <c r="A28" s="2">
        <v>26</v>
      </c>
      <c r="B28" s="2" t="s">
        <v>270</v>
      </c>
      <c r="C28" s="2" t="s">
        <v>301</v>
      </c>
      <c r="D28" s="2" t="s">
        <v>262</v>
      </c>
      <c r="E28" s="2">
        <v>2</v>
      </c>
      <c r="F28" s="15"/>
    </row>
    <row r="29" ht="20" customHeight="1" spans="1:6">
      <c r="A29" s="2">
        <v>27</v>
      </c>
      <c r="B29" s="2" t="s">
        <v>270</v>
      </c>
      <c r="C29" s="2" t="s">
        <v>271</v>
      </c>
      <c r="D29" s="2" t="s">
        <v>262</v>
      </c>
      <c r="E29" s="2">
        <v>1</v>
      </c>
      <c r="F29" s="15"/>
    </row>
    <row r="30" ht="20" customHeight="1" spans="1:6">
      <c r="A30" s="2">
        <v>28</v>
      </c>
      <c r="B30" s="2" t="s">
        <v>270</v>
      </c>
      <c r="C30" s="2" t="s">
        <v>272</v>
      </c>
      <c r="D30" s="2" t="s">
        <v>268</v>
      </c>
      <c r="E30" s="2">
        <v>2</v>
      </c>
      <c r="F30" s="15"/>
    </row>
    <row r="31" ht="20" customHeight="1" spans="1:6">
      <c r="A31" s="2">
        <v>29</v>
      </c>
      <c r="B31" s="2" t="s">
        <v>270</v>
      </c>
      <c r="C31" s="2" t="s">
        <v>302</v>
      </c>
      <c r="D31" s="2" t="s">
        <v>268</v>
      </c>
      <c r="E31" s="2">
        <v>1</v>
      </c>
      <c r="F31" s="15"/>
    </row>
    <row r="32" ht="20" customHeight="1" spans="1:6">
      <c r="A32" s="2">
        <v>30</v>
      </c>
      <c r="B32" s="2" t="s">
        <v>273</v>
      </c>
      <c r="C32" s="2" t="s">
        <v>274</v>
      </c>
      <c r="D32" s="2" t="s">
        <v>268</v>
      </c>
      <c r="E32" s="2">
        <v>2</v>
      </c>
      <c r="F32" s="15"/>
    </row>
    <row r="33" ht="20" customHeight="1" spans="1:6">
      <c r="A33" s="2">
        <v>31</v>
      </c>
      <c r="B33" s="2" t="s">
        <v>273</v>
      </c>
      <c r="C33" s="2" t="s">
        <v>274</v>
      </c>
      <c r="D33" s="2" t="s">
        <v>262</v>
      </c>
      <c r="E33" s="2">
        <v>2</v>
      </c>
      <c r="F33" s="15"/>
    </row>
    <row r="34" ht="20" customHeight="1" spans="1:6">
      <c r="A34" s="2">
        <v>32</v>
      </c>
      <c r="B34" s="2" t="s">
        <v>275</v>
      </c>
      <c r="C34" s="2" t="s">
        <v>276</v>
      </c>
      <c r="D34" s="2" t="s">
        <v>268</v>
      </c>
      <c r="E34" s="2">
        <v>2</v>
      </c>
      <c r="F34" s="15"/>
    </row>
    <row r="35" ht="20" customHeight="1" spans="1:6">
      <c r="A35" s="2">
        <v>33</v>
      </c>
      <c r="B35" s="2" t="s">
        <v>275</v>
      </c>
      <c r="C35" s="2" t="s">
        <v>276</v>
      </c>
      <c r="D35" s="2" t="s">
        <v>262</v>
      </c>
      <c r="E35" s="2">
        <v>2</v>
      </c>
      <c r="F35" s="15"/>
    </row>
    <row r="36" ht="20" customHeight="1" spans="1:6">
      <c r="A36" s="2" t="s">
        <v>265</v>
      </c>
      <c r="B36" s="2"/>
      <c r="C36" s="2"/>
      <c r="D36" s="2"/>
      <c r="E36" s="2">
        <f>SUM(E3:E35)</f>
        <v>47</v>
      </c>
      <c r="F36" s="5"/>
    </row>
  </sheetData>
  <mergeCells count="2">
    <mergeCell ref="A1:F1"/>
    <mergeCell ref="F3:F36"/>
  </mergeCells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6"/>
  <sheetViews>
    <sheetView workbookViewId="0">
      <selection activeCell="E2" sqref="E2"/>
    </sheetView>
  </sheetViews>
  <sheetFormatPr defaultColWidth="9" defaultRowHeight="13.5" outlineLevelRow="5" outlineLevelCol="5"/>
  <cols>
    <col min="3" max="3" width="15.25" customWidth="1"/>
    <col min="5" max="5" width="9.75" customWidth="1"/>
    <col min="6" max="6" width="21.375" customWidth="1"/>
  </cols>
  <sheetData>
    <row r="1" ht="20" customHeight="1" spans="1:6">
      <c r="A1" s="1" t="s">
        <v>326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278</v>
      </c>
      <c r="C3" s="2" t="s">
        <v>286</v>
      </c>
      <c r="D3" s="2" t="s">
        <v>262</v>
      </c>
      <c r="E3" s="2">
        <v>1</v>
      </c>
      <c r="F3" s="10" t="s">
        <v>259</v>
      </c>
    </row>
    <row r="4" ht="20" customHeight="1" spans="1:6">
      <c r="A4" s="2">
        <v>2</v>
      </c>
      <c r="B4" s="2" t="s">
        <v>304</v>
      </c>
      <c r="C4" s="2" t="s">
        <v>324</v>
      </c>
      <c r="D4" s="2" t="s">
        <v>268</v>
      </c>
      <c r="E4" s="2">
        <v>1</v>
      </c>
      <c r="F4" s="9"/>
    </row>
    <row r="5" ht="20" customHeight="1" spans="1:6">
      <c r="A5" s="2">
        <v>3</v>
      </c>
      <c r="B5" s="2" t="s">
        <v>304</v>
      </c>
      <c r="C5" s="2" t="s">
        <v>306</v>
      </c>
      <c r="D5" s="2" t="s">
        <v>262</v>
      </c>
      <c r="E5" s="2">
        <v>1</v>
      </c>
      <c r="F5" s="9"/>
    </row>
    <row r="6" ht="20" customHeight="1" spans="1:6">
      <c r="A6" s="2" t="s">
        <v>265</v>
      </c>
      <c r="B6" s="2"/>
      <c r="C6" s="2"/>
      <c r="D6" s="2"/>
      <c r="E6" s="2">
        <f>SUM(E3:E5)</f>
        <v>3</v>
      </c>
      <c r="F6" s="5"/>
    </row>
  </sheetData>
  <mergeCells count="2">
    <mergeCell ref="A1:F1"/>
    <mergeCell ref="F3:F6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K4" sqref="K4"/>
    </sheetView>
  </sheetViews>
  <sheetFormatPr defaultColWidth="9" defaultRowHeight="13.5" outlineLevelRow="4" outlineLevelCol="5"/>
  <cols>
    <col min="6" max="6" width="20.75" customWidth="1"/>
  </cols>
  <sheetData>
    <row r="1" ht="47" customHeight="1" spans="1:6">
      <c r="A1" s="1" t="s">
        <v>327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328</v>
      </c>
      <c r="D3" s="2" t="s">
        <v>268</v>
      </c>
      <c r="E3" s="2">
        <v>1</v>
      </c>
      <c r="F3" s="10" t="s">
        <v>329</v>
      </c>
    </row>
    <row r="4" ht="20" customHeight="1" spans="1:6">
      <c r="A4" s="2">
        <v>2</v>
      </c>
      <c r="B4" s="2" t="s">
        <v>304</v>
      </c>
      <c r="C4" s="2" t="s">
        <v>330</v>
      </c>
      <c r="D4" s="2" t="s">
        <v>262</v>
      </c>
      <c r="E4" s="2">
        <v>1</v>
      </c>
      <c r="F4" s="9"/>
    </row>
    <row r="5" ht="20" customHeight="1" spans="1:6">
      <c r="A5" s="2" t="s">
        <v>265</v>
      </c>
      <c r="B5" s="2"/>
      <c r="C5" s="2"/>
      <c r="D5" s="2"/>
      <c r="E5" s="2">
        <f>SUM(E3:E4)</f>
        <v>2</v>
      </c>
      <c r="F5" s="5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D4" sqref="D4"/>
    </sheetView>
  </sheetViews>
  <sheetFormatPr defaultColWidth="9" defaultRowHeight="13.5" outlineLevelRow="4" outlineLevelCol="5"/>
  <cols>
    <col min="6" max="6" width="20.75" customWidth="1"/>
  </cols>
  <sheetData>
    <row r="1" ht="36" customHeight="1" spans="1:6">
      <c r="A1" s="1" t="s">
        <v>331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332</v>
      </c>
      <c r="D3" s="2" t="s">
        <v>268</v>
      </c>
      <c r="E3" s="2">
        <v>1</v>
      </c>
      <c r="F3" s="10" t="s">
        <v>329</v>
      </c>
    </row>
    <row r="4" ht="20" customHeight="1" spans="1:6">
      <c r="A4" s="2">
        <v>2</v>
      </c>
      <c r="B4" s="2" t="s">
        <v>304</v>
      </c>
      <c r="C4" s="2" t="s">
        <v>333</v>
      </c>
      <c r="D4" s="2" t="s">
        <v>262</v>
      </c>
      <c r="E4" s="2">
        <v>1</v>
      </c>
      <c r="F4" s="9"/>
    </row>
    <row r="5" ht="20" customHeight="1" spans="1:6">
      <c r="A5" s="2" t="s">
        <v>265</v>
      </c>
      <c r="B5" s="2"/>
      <c r="C5" s="2"/>
      <c r="D5" s="2"/>
      <c r="E5" s="2">
        <f>SUM(E3:E4)</f>
        <v>2</v>
      </c>
      <c r="F5" s="5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9"/>
  <sheetViews>
    <sheetView workbookViewId="0">
      <selection activeCell="A4" sqref="A4:A8"/>
    </sheetView>
  </sheetViews>
  <sheetFormatPr defaultColWidth="9" defaultRowHeight="13.5" outlineLevelCol="5"/>
  <cols>
    <col min="3" max="3" width="14.5" customWidth="1"/>
    <col min="6" max="6" width="20.75" customWidth="1"/>
  </cols>
  <sheetData>
    <row r="1" ht="47" customHeight="1" spans="1:6">
      <c r="A1" s="1" t="s">
        <v>334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335</v>
      </c>
      <c r="D3" s="2" t="s">
        <v>268</v>
      </c>
      <c r="E3" s="2">
        <v>1</v>
      </c>
      <c r="F3" s="10" t="s">
        <v>329</v>
      </c>
    </row>
    <row r="4" ht="20" customHeight="1" spans="1:6">
      <c r="A4" s="2">
        <v>2</v>
      </c>
      <c r="B4" s="2" t="s">
        <v>304</v>
      </c>
      <c r="C4" s="2" t="s">
        <v>336</v>
      </c>
      <c r="D4" s="2" t="s">
        <v>268</v>
      </c>
      <c r="E4" s="2">
        <v>1</v>
      </c>
      <c r="F4" s="9"/>
    </row>
    <row r="5" ht="20" customHeight="1" spans="1:6">
      <c r="A5" s="2">
        <v>3</v>
      </c>
      <c r="B5" s="2" t="s">
        <v>304</v>
      </c>
      <c r="C5" s="2" t="s">
        <v>337</v>
      </c>
      <c r="D5" s="2" t="s">
        <v>268</v>
      </c>
      <c r="E5" s="2">
        <v>1</v>
      </c>
      <c r="F5" s="9"/>
    </row>
    <row r="6" ht="20" customHeight="1" spans="1:6">
      <c r="A6" s="2">
        <v>4</v>
      </c>
      <c r="B6" s="2" t="s">
        <v>304</v>
      </c>
      <c r="C6" s="2" t="s">
        <v>338</v>
      </c>
      <c r="D6" s="2" t="s">
        <v>268</v>
      </c>
      <c r="E6" s="2">
        <v>1</v>
      </c>
      <c r="F6" s="9"/>
    </row>
    <row r="7" ht="20" customHeight="1" spans="1:6">
      <c r="A7" s="2">
        <v>5</v>
      </c>
      <c r="B7" s="2" t="s">
        <v>304</v>
      </c>
      <c r="C7" s="2" t="s">
        <v>339</v>
      </c>
      <c r="D7" s="2" t="s">
        <v>268</v>
      </c>
      <c r="E7" s="2">
        <v>1</v>
      </c>
      <c r="F7" s="9"/>
    </row>
    <row r="8" ht="20" customHeight="1" spans="1:6">
      <c r="A8" s="2">
        <v>6</v>
      </c>
      <c r="B8" s="2" t="s">
        <v>304</v>
      </c>
      <c r="C8" s="2" t="s">
        <v>340</v>
      </c>
      <c r="D8" s="2" t="s">
        <v>268</v>
      </c>
      <c r="E8" s="2">
        <v>1</v>
      </c>
      <c r="F8" s="9"/>
    </row>
    <row r="9" ht="20" customHeight="1" spans="1:6">
      <c r="A9" s="2" t="s">
        <v>265</v>
      </c>
      <c r="B9" s="2"/>
      <c r="C9" s="2"/>
      <c r="D9" s="2"/>
      <c r="E9" s="2">
        <f>SUM(E3:E8)</f>
        <v>6</v>
      </c>
      <c r="F9" s="5"/>
    </row>
  </sheetData>
  <mergeCells count="2">
    <mergeCell ref="A1:F1"/>
    <mergeCell ref="F3:F9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"/>
  <sheetViews>
    <sheetView workbookViewId="0">
      <selection activeCell="H3" sqref="H3"/>
    </sheetView>
  </sheetViews>
  <sheetFormatPr defaultColWidth="9" defaultRowHeight="13.5" outlineLevelRow="3" outlineLevelCol="7"/>
  <cols>
    <col min="3" max="3" width="14.5" customWidth="1"/>
    <col min="6" max="6" width="20.75" customWidth="1"/>
  </cols>
  <sheetData>
    <row r="1" ht="47" customHeight="1" spans="1:6">
      <c r="A1" s="1" t="s">
        <v>341</v>
      </c>
      <c r="B1" s="1"/>
      <c r="C1" s="1"/>
      <c r="D1" s="1"/>
      <c r="E1" s="1"/>
      <c r="F1" s="1"/>
    </row>
    <row r="2" ht="20" customHeight="1" spans="1:8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  <c r="H2" s="14"/>
    </row>
    <row r="3" ht="20" customHeight="1" spans="1:6">
      <c r="A3" s="2">
        <v>1</v>
      </c>
      <c r="B3" s="13" t="s">
        <v>304</v>
      </c>
      <c r="C3" s="13" t="s">
        <v>342</v>
      </c>
      <c r="D3" s="13" t="s">
        <v>262</v>
      </c>
      <c r="E3" s="13">
        <v>1</v>
      </c>
      <c r="F3" s="10" t="s">
        <v>329</v>
      </c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"/>
  <sheetViews>
    <sheetView workbookViewId="0">
      <selection activeCell="H3" sqref="H3"/>
    </sheetView>
  </sheetViews>
  <sheetFormatPr defaultColWidth="9" defaultRowHeight="13.5" outlineLevelRow="3" outlineLevelCol="7"/>
  <cols>
    <col min="3" max="3" width="14.5" customWidth="1"/>
    <col min="6" max="6" width="20.75" customWidth="1"/>
  </cols>
  <sheetData>
    <row r="1" ht="47" customHeight="1" spans="1:6">
      <c r="A1" s="1" t="s">
        <v>343</v>
      </c>
      <c r="B1" s="1"/>
      <c r="C1" s="1"/>
      <c r="D1" s="1"/>
      <c r="E1" s="1"/>
      <c r="F1" s="1"/>
    </row>
    <row r="2" ht="20" customHeight="1" spans="1:8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  <c r="H2" s="14"/>
    </row>
    <row r="3" ht="20" customHeight="1" spans="1:6">
      <c r="A3" s="2">
        <v>1</v>
      </c>
      <c r="B3" s="11" t="s">
        <v>304</v>
      </c>
      <c r="C3" s="11" t="s">
        <v>344</v>
      </c>
      <c r="D3" s="11" t="s">
        <v>262</v>
      </c>
      <c r="E3" s="11">
        <v>1</v>
      </c>
      <c r="F3" s="10" t="s">
        <v>329</v>
      </c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7"/>
  <sheetViews>
    <sheetView workbookViewId="0">
      <selection activeCell="A1" sqref="A1:F1"/>
    </sheetView>
  </sheetViews>
  <sheetFormatPr defaultColWidth="9" defaultRowHeight="13.5" outlineLevelRow="6" outlineLevelCol="5"/>
  <cols>
    <col min="3" max="3" width="14.5" customWidth="1"/>
    <col min="6" max="6" width="20.75" customWidth="1"/>
  </cols>
  <sheetData>
    <row r="1" ht="47" customHeight="1" spans="1:6">
      <c r="A1" s="1" t="s">
        <v>345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346</v>
      </c>
      <c r="D3" s="2" t="s">
        <v>262</v>
      </c>
      <c r="E3" s="2">
        <v>1</v>
      </c>
      <c r="F3" s="10" t="s">
        <v>329</v>
      </c>
    </row>
    <row r="4" ht="20" customHeight="1" spans="1:6">
      <c r="A4" s="2">
        <v>2</v>
      </c>
      <c r="B4" s="13" t="s">
        <v>304</v>
      </c>
      <c r="C4" s="13" t="s">
        <v>347</v>
      </c>
      <c r="D4" s="13" t="s">
        <v>268</v>
      </c>
      <c r="E4" s="13">
        <v>1</v>
      </c>
      <c r="F4" s="9"/>
    </row>
    <row r="5" ht="20" customHeight="1" spans="1:6">
      <c r="A5" s="2">
        <v>3</v>
      </c>
      <c r="B5" s="2" t="s">
        <v>304</v>
      </c>
      <c r="C5" s="2" t="s">
        <v>348</v>
      </c>
      <c r="D5" s="2" t="s">
        <v>262</v>
      </c>
      <c r="E5" s="2">
        <v>1</v>
      </c>
      <c r="F5" s="9"/>
    </row>
    <row r="6" ht="20" customHeight="1" spans="1:6">
      <c r="A6" s="2">
        <v>4</v>
      </c>
      <c r="B6" s="13" t="s">
        <v>304</v>
      </c>
      <c r="C6" s="13" t="s">
        <v>347</v>
      </c>
      <c r="D6" s="13" t="s">
        <v>268</v>
      </c>
      <c r="E6" s="13">
        <v>1</v>
      </c>
      <c r="F6" s="9"/>
    </row>
    <row r="7" ht="20" customHeight="1" spans="1:6">
      <c r="A7" s="2" t="s">
        <v>265</v>
      </c>
      <c r="B7" s="2"/>
      <c r="C7" s="2"/>
      <c r="D7" s="2"/>
      <c r="E7" s="2">
        <f>SUM(E3:E6)</f>
        <v>4</v>
      </c>
      <c r="F7" s="5"/>
    </row>
  </sheetData>
  <mergeCells count="2">
    <mergeCell ref="A1:F1"/>
    <mergeCell ref="F3:F7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9"/>
  <sheetViews>
    <sheetView workbookViewId="0">
      <selection activeCell="A1" sqref="A1:F1"/>
    </sheetView>
  </sheetViews>
  <sheetFormatPr defaultColWidth="9" defaultRowHeight="13.5" outlineLevelCol="5"/>
  <cols>
    <col min="3" max="3" width="14.5" customWidth="1"/>
    <col min="6" max="6" width="20.75" customWidth="1"/>
  </cols>
  <sheetData>
    <row r="1" ht="47" customHeight="1" spans="1:6">
      <c r="A1" s="1" t="s">
        <v>349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350</v>
      </c>
      <c r="D3" s="2" t="s">
        <v>262</v>
      </c>
      <c r="E3" s="2">
        <v>1</v>
      </c>
      <c r="F3" s="10" t="s">
        <v>329</v>
      </c>
    </row>
    <row r="4" ht="20" customHeight="1" spans="1:6">
      <c r="A4" s="2">
        <v>2</v>
      </c>
      <c r="B4" s="11" t="s">
        <v>304</v>
      </c>
      <c r="C4" s="11" t="s">
        <v>351</v>
      </c>
      <c r="D4" s="11" t="s">
        <v>268</v>
      </c>
      <c r="E4" s="11">
        <v>1</v>
      </c>
      <c r="F4" s="9"/>
    </row>
    <row r="5" ht="20" customHeight="1" spans="1:6">
      <c r="A5" s="2">
        <v>3</v>
      </c>
      <c r="B5" s="12" t="s">
        <v>304</v>
      </c>
      <c r="C5" s="12" t="s">
        <v>352</v>
      </c>
      <c r="D5" s="12" t="s">
        <v>262</v>
      </c>
      <c r="E5" s="12">
        <v>1</v>
      </c>
      <c r="F5" s="9"/>
    </row>
    <row r="6" ht="20" customHeight="1" spans="1:6">
      <c r="A6" s="2">
        <v>4</v>
      </c>
      <c r="B6" s="12" t="s">
        <v>304</v>
      </c>
      <c r="C6" s="12" t="s">
        <v>353</v>
      </c>
      <c r="D6" s="11" t="s">
        <v>268</v>
      </c>
      <c r="E6" s="12">
        <v>1</v>
      </c>
      <c r="F6" s="9"/>
    </row>
    <row r="7" ht="20" customHeight="1" spans="1:6">
      <c r="A7" s="2">
        <v>5</v>
      </c>
      <c r="B7" s="12" t="s">
        <v>304</v>
      </c>
      <c r="C7" s="12" t="s">
        <v>354</v>
      </c>
      <c r="D7" s="12" t="s">
        <v>262</v>
      </c>
      <c r="E7" s="12">
        <v>1</v>
      </c>
      <c r="F7" s="9"/>
    </row>
    <row r="8" ht="20" customHeight="1" spans="1:6">
      <c r="A8" s="2">
        <v>6</v>
      </c>
      <c r="B8" s="12" t="s">
        <v>304</v>
      </c>
      <c r="C8" s="12" t="s">
        <v>355</v>
      </c>
      <c r="D8" s="11" t="s">
        <v>268</v>
      </c>
      <c r="E8" s="12">
        <v>1</v>
      </c>
      <c r="F8" s="9"/>
    </row>
    <row r="9" ht="20" customHeight="1" spans="1:6">
      <c r="A9" s="2">
        <v>7</v>
      </c>
      <c r="B9" s="12" t="s">
        <v>304</v>
      </c>
      <c r="C9" s="2" t="s">
        <v>356</v>
      </c>
      <c r="D9" s="12" t="s">
        <v>262</v>
      </c>
      <c r="E9" s="12">
        <v>1</v>
      </c>
      <c r="F9" s="9"/>
    </row>
    <row r="10" ht="20" customHeight="1" spans="1:6">
      <c r="A10" s="2">
        <v>8</v>
      </c>
      <c r="B10" s="12" t="s">
        <v>304</v>
      </c>
      <c r="C10" s="2" t="s">
        <v>357</v>
      </c>
      <c r="D10" s="11" t="s">
        <v>268</v>
      </c>
      <c r="E10" s="12">
        <v>1</v>
      </c>
      <c r="F10" s="9"/>
    </row>
    <row r="11" ht="20" customHeight="1" spans="1:6">
      <c r="A11" s="2">
        <v>9</v>
      </c>
      <c r="B11" s="12" t="s">
        <v>304</v>
      </c>
      <c r="C11" s="2" t="s">
        <v>358</v>
      </c>
      <c r="D11" s="11" t="s">
        <v>268</v>
      </c>
      <c r="E11" s="12">
        <v>1</v>
      </c>
      <c r="F11" s="9"/>
    </row>
    <row r="12" ht="20" customHeight="1" spans="1:6">
      <c r="A12" s="2">
        <v>10</v>
      </c>
      <c r="B12" s="12" t="s">
        <v>304</v>
      </c>
      <c r="C12" s="2" t="s">
        <v>359</v>
      </c>
      <c r="D12" s="12" t="s">
        <v>262</v>
      </c>
      <c r="E12" s="12">
        <v>1</v>
      </c>
      <c r="F12" s="9"/>
    </row>
    <row r="13" ht="20" customHeight="1" spans="1:6">
      <c r="A13" s="2">
        <v>11</v>
      </c>
      <c r="B13" s="12" t="s">
        <v>304</v>
      </c>
      <c r="C13" s="2" t="s">
        <v>360</v>
      </c>
      <c r="D13" s="11" t="s">
        <v>268</v>
      </c>
      <c r="E13" s="12">
        <v>1</v>
      </c>
      <c r="F13" s="9"/>
    </row>
    <row r="14" ht="20" customHeight="1" spans="1:6">
      <c r="A14" s="2">
        <v>12</v>
      </c>
      <c r="B14" s="12" t="s">
        <v>304</v>
      </c>
      <c r="C14" s="2" t="s">
        <v>361</v>
      </c>
      <c r="D14" s="12" t="s">
        <v>262</v>
      </c>
      <c r="E14" s="12">
        <v>1</v>
      </c>
      <c r="F14" s="9"/>
    </row>
    <row r="15" ht="20" customHeight="1" spans="1:6">
      <c r="A15" s="2">
        <v>13</v>
      </c>
      <c r="B15" s="12" t="s">
        <v>304</v>
      </c>
      <c r="C15" s="2" t="s">
        <v>362</v>
      </c>
      <c r="D15" s="11" t="s">
        <v>268</v>
      </c>
      <c r="E15" s="12">
        <v>1</v>
      </c>
      <c r="F15" s="9"/>
    </row>
    <row r="16" ht="20" customHeight="1" spans="1:6">
      <c r="A16" s="2">
        <v>14</v>
      </c>
      <c r="B16" s="12" t="s">
        <v>304</v>
      </c>
      <c r="C16" s="2" t="s">
        <v>363</v>
      </c>
      <c r="D16" s="12" t="s">
        <v>262</v>
      </c>
      <c r="E16" s="12">
        <v>1</v>
      </c>
      <c r="F16" s="9"/>
    </row>
    <row r="17" ht="20" customHeight="1" spans="1:6">
      <c r="A17" s="2">
        <v>15</v>
      </c>
      <c r="B17" s="12" t="s">
        <v>304</v>
      </c>
      <c r="C17" s="2" t="s">
        <v>364</v>
      </c>
      <c r="D17" s="11" t="s">
        <v>268</v>
      </c>
      <c r="E17" s="12">
        <v>1</v>
      </c>
      <c r="F17" s="9"/>
    </row>
    <row r="18" ht="20" customHeight="1" spans="1:6">
      <c r="A18" s="2">
        <v>16</v>
      </c>
      <c r="B18" s="12" t="s">
        <v>304</v>
      </c>
      <c r="C18" s="2" t="s">
        <v>365</v>
      </c>
      <c r="D18" s="12" t="s">
        <v>262</v>
      </c>
      <c r="E18" s="12">
        <v>1</v>
      </c>
      <c r="F18" s="9"/>
    </row>
    <row r="19" ht="20" customHeight="1" spans="1:6">
      <c r="A19" s="2" t="s">
        <v>265</v>
      </c>
      <c r="B19" s="2"/>
      <c r="C19" s="2"/>
      <c r="D19" s="2"/>
      <c r="E19" s="2">
        <f>SUM(E3:E18)</f>
        <v>16</v>
      </c>
      <c r="F19" s="5"/>
    </row>
  </sheetData>
  <mergeCells count="2">
    <mergeCell ref="A1:F1"/>
    <mergeCell ref="F3:F19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9"/>
  <sheetViews>
    <sheetView topLeftCell="A14" workbookViewId="0">
      <selection activeCell="D15" sqref="D15:D18"/>
    </sheetView>
  </sheetViews>
  <sheetFormatPr defaultColWidth="9" defaultRowHeight="13.5" outlineLevelCol="5"/>
  <cols>
    <col min="3" max="3" width="14.5" customWidth="1"/>
    <col min="6" max="6" width="20.75" customWidth="1"/>
  </cols>
  <sheetData>
    <row r="1" ht="47" customHeight="1" spans="1:6">
      <c r="A1" s="1" t="s">
        <v>366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367</v>
      </c>
      <c r="D3" s="2" t="s">
        <v>262</v>
      </c>
      <c r="E3" s="2">
        <v>1</v>
      </c>
      <c r="F3" s="10" t="s">
        <v>329</v>
      </c>
    </row>
    <row r="4" ht="20" customHeight="1" spans="1:6">
      <c r="A4" s="2">
        <v>2</v>
      </c>
      <c r="B4" s="11" t="s">
        <v>304</v>
      </c>
      <c r="C4" s="11" t="s">
        <v>368</v>
      </c>
      <c r="D4" s="2" t="s">
        <v>262</v>
      </c>
      <c r="E4" s="11">
        <v>1</v>
      </c>
      <c r="F4" s="9"/>
    </row>
    <row r="5" ht="20" customHeight="1" spans="1:6">
      <c r="A5" s="2">
        <v>3</v>
      </c>
      <c r="B5" s="12" t="s">
        <v>304</v>
      </c>
      <c r="C5" s="12" t="s">
        <v>369</v>
      </c>
      <c r="D5" s="2" t="s">
        <v>262</v>
      </c>
      <c r="E5" s="12">
        <v>1</v>
      </c>
      <c r="F5" s="9"/>
    </row>
    <row r="6" ht="20" customHeight="1" spans="1:6">
      <c r="A6" s="2">
        <v>4</v>
      </c>
      <c r="B6" s="12" t="s">
        <v>304</v>
      </c>
      <c r="C6" s="12" t="s">
        <v>370</v>
      </c>
      <c r="D6" s="2" t="s">
        <v>262</v>
      </c>
      <c r="E6" s="12">
        <v>1</v>
      </c>
      <c r="F6" s="9"/>
    </row>
    <row r="7" ht="20" customHeight="1" spans="1:6">
      <c r="A7" s="2">
        <v>5</v>
      </c>
      <c r="B7" s="12" t="s">
        <v>304</v>
      </c>
      <c r="C7" s="12" t="s">
        <v>371</v>
      </c>
      <c r="D7" s="2" t="s">
        <v>262</v>
      </c>
      <c r="E7" s="12">
        <v>1</v>
      </c>
      <c r="F7" s="9"/>
    </row>
    <row r="8" ht="20" customHeight="1" spans="1:6">
      <c r="A8" s="2">
        <v>6</v>
      </c>
      <c r="B8" s="12" t="s">
        <v>304</v>
      </c>
      <c r="C8" s="12" t="s">
        <v>372</v>
      </c>
      <c r="D8" s="2" t="s">
        <v>262</v>
      </c>
      <c r="E8" s="12">
        <v>1</v>
      </c>
      <c r="F8" s="9"/>
    </row>
    <row r="9" ht="20" customHeight="1" spans="1:6">
      <c r="A9" s="2">
        <v>7</v>
      </c>
      <c r="B9" s="12" t="s">
        <v>304</v>
      </c>
      <c r="C9" s="2" t="s">
        <v>373</v>
      </c>
      <c r="D9" s="2" t="s">
        <v>262</v>
      </c>
      <c r="E9" s="12">
        <v>1</v>
      </c>
      <c r="F9" s="9"/>
    </row>
    <row r="10" ht="20" customHeight="1" spans="1:6">
      <c r="A10" s="2">
        <v>8</v>
      </c>
      <c r="B10" s="12" t="s">
        <v>304</v>
      </c>
      <c r="C10" s="2" t="s">
        <v>374</v>
      </c>
      <c r="D10" s="2" t="s">
        <v>262</v>
      </c>
      <c r="E10" s="12">
        <v>1</v>
      </c>
      <c r="F10" s="9"/>
    </row>
    <row r="11" ht="20" customHeight="1" spans="1:6">
      <c r="A11" s="2">
        <v>9</v>
      </c>
      <c r="B11" s="12" t="s">
        <v>304</v>
      </c>
      <c r="C11" s="2" t="s">
        <v>375</v>
      </c>
      <c r="D11" s="11" t="s">
        <v>268</v>
      </c>
      <c r="E11" s="12">
        <v>1</v>
      </c>
      <c r="F11" s="9"/>
    </row>
    <row r="12" ht="20" customHeight="1" spans="1:6">
      <c r="A12" s="2">
        <v>10</v>
      </c>
      <c r="B12" s="12" t="s">
        <v>304</v>
      </c>
      <c r="C12" s="2" t="s">
        <v>376</v>
      </c>
      <c r="D12" s="11" t="s">
        <v>268</v>
      </c>
      <c r="E12" s="12">
        <v>1</v>
      </c>
      <c r="F12" s="9"/>
    </row>
    <row r="13" ht="20" customHeight="1" spans="1:6">
      <c r="A13" s="2">
        <v>11</v>
      </c>
      <c r="B13" s="12" t="s">
        <v>304</v>
      </c>
      <c r="C13" s="2" t="s">
        <v>377</v>
      </c>
      <c r="D13" s="11" t="s">
        <v>268</v>
      </c>
      <c r="E13" s="12">
        <v>1</v>
      </c>
      <c r="F13" s="9"/>
    </row>
    <row r="14" ht="20" customHeight="1" spans="1:6">
      <c r="A14" s="2">
        <v>12</v>
      </c>
      <c r="B14" s="12" t="s">
        <v>304</v>
      </c>
      <c r="C14" s="2" t="s">
        <v>378</v>
      </c>
      <c r="D14" s="11" t="s">
        <v>268</v>
      </c>
      <c r="E14" s="12">
        <v>1</v>
      </c>
      <c r="F14" s="9"/>
    </row>
    <row r="15" ht="20" customHeight="1" spans="1:6">
      <c r="A15" s="2">
        <v>13</v>
      </c>
      <c r="B15" s="12" t="s">
        <v>304</v>
      </c>
      <c r="C15" s="2" t="s">
        <v>379</v>
      </c>
      <c r="D15" s="11" t="s">
        <v>268</v>
      </c>
      <c r="E15" s="12">
        <v>1</v>
      </c>
      <c r="F15" s="9"/>
    </row>
    <row r="16" ht="20" customHeight="1" spans="1:6">
      <c r="A16" s="2">
        <v>14</v>
      </c>
      <c r="B16" s="12" t="s">
        <v>304</v>
      </c>
      <c r="C16" s="2" t="s">
        <v>380</v>
      </c>
      <c r="D16" s="11" t="s">
        <v>268</v>
      </c>
      <c r="E16" s="12">
        <v>1</v>
      </c>
      <c r="F16" s="9"/>
    </row>
    <row r="17" ht="20" customHeight="1" spans="1:6">
      <c r="A17" s="2">
        <v>15</v>
      </c>
      <c r="B17" s="12" t="s">
        <v>304</v>
      </c>
      <c r="C17" s="2" t="s">
        <v>381</v>
      </c>
      <c r="D17" s="11" t="s">
        <v>268</v>
      </c>
      <c r="E17" s="12">
        <v>1</v>
      </c>
      <c r="F17" s="9"/>
    </row>
    <row r="18" ht="20" customHeight="1" spans="1:6">
      <c r="A18" s="2">
        <v>16</v>
      </c>
      <c r="B18" s="12" t="s">
        <v>304</v>
      </c>
      <c r="C18" s="2" t="s">
        <v>382</v>
      </c>
      <c r="D18" s="11" t="s">
        <v>268</v>
      </c>
      <c r="E18" s="12">
        <v>1</v>
      </c>
      <c r="F18" s="9"/>
    </row>
    <row r="19" ht="20" customHeight="1" spans="1:6">
      <c r="A19" s="2" t="s">
        <v>265</v>
      </c>
      <c r="B19" s="2"/>
      <c r="C19" s="2"/>
      <c r="D19" s="2"/>
      <c r="E19" s="2">
        <f>SUM(E3:E18)</f>
        <v>16</v>
      </c>
      <c r="F19" s="5"/>
    </row>
  </sheetData>
  <mergeCells count="2">
    <mergeCell ref="A1:F1"/>
    <mergeCell ref="F3:F19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0"/>
  <sheetViews>
    <sheetView workbookViewId="0">
      <selection activeCell="A10" sqref="$A10:$XFD18"/>
    </sheetView>
  </sheetViews>
  <sheetFormatPr defaultColWidth="9" defaultRowHeight="13.5" outlineLevelCol="5"/>
  <cols>
    <col min="3" max="3" width="14.5" customWidth="1"/>
    <col min="6" max="6" width="20.75" customWidth="1"/>
  </cols>
  <sheetData>
    <row r="1" ht="47" customHeight="1" spans="1:6">
      <c r="A1" s="1" t="s">
        <v>383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384</v>
      </c>
      <c r="D3" s="2" t="s">
        <v>268</v>
      </c>
      <c r="E3" s="2">
        <v>1</v>
      </c>
      <c r="F3" s="10" t="s">
        <v>329</v>
      </c>
    </row>
    <row r="4" ht="20" customHeight="1" spans="1:6">
      <c r="A4" s="2">
        <v>2</v>
      </c>
      <c r="B4" s="11" t="s">
        <v>304</v>
      </c>
      <c r="C4" s="11" t="s">
        <v>385</v>
      </c>
      <c r="D4" s="2" t="s">
        <v>262</v>
      </c>
      <c r="E4" s="11">
        <v>1</v>
      </c>
      <c r="F4" s="9"/>
    </row>
    <row r="5" ht="20" customHeight="1" spans="1:6">
      <c r="A5" s="2">
        <v>3</v>
      </c>
      <c r="B5" s="12" t="s">
        <v>304</v>
      </c>
      <c r="C5" s="12" t="s">
        <v>386</v>
      </c>
      <c r="D5" s="2" t="s">
        <v>268</v>
      </c>
      <c r="E5" s="12">
        <v>1</v>
      </c>
      <c r="F5" s="9"/>
    </row>
    <row r="6" ht="20" customHeight="1" spans="1:6">
      <c r="A6" s="2">
        <v>4</v>
      </c>
      <c r="B6" s="12" t="s">
        <v>304</v>
      </c>
      <c r="C6" s="12" t="s">
        <v>387</v>
      </c>
      <c r="D6" s="2" t="s">
        <v>262</v>
      </c>
      <c r="E6" s="12">
        <v>1</v>
      </c>
      <c r="F6" s="9"/>
    </row>
    <row r="7" ht="20" customHeight="1" spans="1:6">
      <c r="A7" s="2">
        <v>5</v>
      </c>
      <c r="B7" s="12" t="s">
        <v>304</v>
      </c>
      <c r="C7" s="12" t="s">
        <v>388</v>
      </c>
      <c r="D7" s="2" t="s">
        <v>268</v>
      </c>
      <c r="E7" s="12">
        <v>1</v>
      </c>
      <c r="F7" s="9"/>
    </row>
    <row r="8" ht="20" customHeight="1" spans="1:6">
      <c r="A8" s="2">
        <v>6</v>
      </c>
      <c r="B8" s="12" t="s">
        <v>304</v>
      </c>
      <c r="C8" s="12" t="s">
        <v>389</v>
      </c>
      <c r="D8" s="2" t="s">
        <v>268</v>
      </c>
      <c r="E8" s="12">
        <v>1</v>
      </c>
      <c r="F8" s="9"/>
    </row>
    <row r="9" ht="20" customHeight="1" spans="1:6">
      <c r="A9" s="2">
        <v>7</v>
      </c>
      <c r="B9" s="12" t="s">
        <v>304</v>
      </c>
      <c r="C9" s="2" t="s">
        <v>390</v>
      </c>
      <c r="D9" s="2" t="s">
        <v>268</v>
      </c>
      <c r="E9" s="12">
        <v>1</v>
      </c>
      <c r="F9" s="9"/>
    </row>
    <row r="10" ht="20" customHeight="1" spans="1:6">
      <c r="A10" s="2" t="s">
        <v>265</v>
      </c>
      <c r="B10" s="2"/>
      <c r="C10" s="2"/>
      <c r="D10" s="2"/>
      <c r="E10" s="2">
        <f>SUM(E3:E9)</f>
        <v>7</v>
      </c>
      <c r="F10" s="5"/>
    </row>
  </sheetData>
  <mergeCells count="2">
    <mergeCell ref="A1:F1"/>
    <mergeCell ref="F3:F10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A5" sqref="$A5:$XFD9"/>
    </sheetView>
  </sheetViews>
  <sheetFormatPr defaultColWidth="9" defaultRowHeight="13.5" outlineLevelRow="4" outlineLevelCol="5"/>
  <cols>
    <col min="3" max="3" width="14.5" customWidth="1"/>
    <col min="6" max="6" width="20.75" customWidth="1"/>
  </cols>
  <sheetData>
    <row r="1" ht="47" customHeight="1" spans="1:6">
      <c r="A1" s="1" t="s">
        <v>391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392</v>
      </c>
      <c r="D3" s="2" t="s">
        <v>268</v>
      </c>
      <c r="E3" s="2">
        <v>1</v>
      </c>
      <c r="F3" s="10" t="s">
        <v>329</v>
      </c>
    </row>
    <row r="4" ht="20" customHeight="1" spans="1:6">
      <c r="A4" s="2">
        <v>2</v>
      </c>
      <c r="B4" s="11" t="s">
        <v>304</v>
      </c>
      <c r="C4" s="11" t="s">
        <v>393</v>
      </c>
      <c r="D4" s="2" t="s">
        <v>268</v>
      </c>
      <c r="E4" s="11">
        <v>1</v>
      </c>
      <c r="F4" s="9"/>
    </row>
    <row r="5" ht="20" customHeight="1" spans="1:6">
      <c r="A5" s="2" t="s">
        <v>265</v>
      </c>
      <c r="B5" s="2"/>
      <c r="C5" s="2"/>
      <c r="D5" s="2"/>
      <c r="E5" s="2">
        <f>SUM(E3:E4)</f>
        <v>2</v>
      </c>
      <c r="F5" s="5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A4" sqref="$A4:$XFD4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394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344</v>
      </c>
      <c r="D3" s="2" t="s">
        <v>268</v>
      </c>
      <c r="E3" s="2">
        <v>1</v>
      </c>
      <c r="F3" s="10" t="s">
        <v>329</v>
      </c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B3" sqref="B3:B4"/>
    </sheetView>
  </sheetViews>
  <sheetFormatPr defaultColWidth="9" defaultRowHeight="13.5" outlineLevelRow="4" outlineLevelCol="5"/>
  <cols>
    <col min="3" max="3" width="14.5" customWidth="1"/>
    <col min="6" max="6" width="20.75" customWidth="1"/>
  </cols>
  <sheetData>
    <row r="1" ht="47" customHeight="1" spans="1:6">
      <c r="A1" s="1" t="s">
        <v>395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396</v>
      </c>
      <c r="D3" s="2" t="s">
        <v>268</v>
      </c>
      <c r="E3" s="2">
        <v>1</v>
      </c>
      <c r="F3" s="10" t="s">
        <v>329</v>
      </c>
    </row>
    <row r="4" ht="20" customHeight="1" spans="1:6">
      <c r="A4" s="2">
        <v>2</v>
      </c>
      <c r="B4" s="2" t="s">
        <v>304</v>
      </c>
      <c r="C4" s="2" t="s">
        <v>397</v>
      </c>
      <c r="D4" s="2" t="s">
        <v>262</v>
      </c>
      <c r="E4" s="2">
        <v>1</v>
      </c>
      <c r="F4" s="9"/>
    </row>
    <row r="5" ht="20" customHeight="1" spans="1:6">
      <c r="A5" s="2" t="s">
        <v>265</v>
      </c>
      <c r="B5" s="2"/>
      <c r="C5" s="2"/>
      <c r="D5" s="2"/>
      <c r="E5" s="2">
        <f>SUM(E3:E4)</f>
        <v>2</v>
      </c>
      <c r="F5" s="5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E4" sqref="E4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398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399</v>
      </c>
      <c r="D3" s="2" t="s">
        <v>262</v>
      </c>
      <c r="E3" s="2">
        <v>1</v>
      </c>
      <c r="F3" s="9"/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F5" sqref="F5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400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401</v>
      </c>
      <c r="D3" s="2" t="s">
        <v>262</v>
      </c>
      <c r="E3" s="2">
        <v>1</v>
      </c>
      <c r="F3" s="9"/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B3" sqref="B3:B4"/>
    </sheetView>
  </sheetViews>
  <sheetFormatPr defaultColWidth="9" defaultRowHeight="13.5" outlineLevelRow="4" outlineLevelCol="5"/>
  <cols>
    <col min="3" max="3" width="14.5" customWidth="1"/>
    <col min="6" max="6" width="20.75" customWidth="1"/>
  </cols>
  <sheetData>
    <row r="1" ht="47" customHeight="1" spans="1:6">
      <c r="A1" s="1" t="s">
        <v>402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403</v>
      </c>
      <c r="D3" s="2" t="s">
        <v>268</v>
      </c>
      <c r="E3" s="2">
        <v>1</v>
      </c>
      <c r="F3" s="9"/>
    </row>
    <row r="4" ht="20" customHeight="1" spans="1:6">
      <c r="A4" s="2">
        <v>2</v>
      </c>
      <c r="B4" s="2" t="s">
        <v>304</v>
      </c>
      <c r="C4" s="2" t="s">
        <v>404</v>
      </c>
      <c r="D4" s="2" t="s">
        <v>262</v>
      </c>
      <c r="E4" s="2">
        <v>1</v>
      </c>
      <c r="F4" s="9"/>
    </row>
    <row r="5" ht="20" customHeight="1" spans="1:6">
      <c r="A5" s="2" t="s">
        <v>265</v>
      </c>
      <c r="B5" s="2"/>
      <c r="C5" s="2"/>
      <c r="D5" s="2"/>
      <c r="E5" s="2">
        <f>SUM(E3:E3)</f>
        <v>1</v>
      </c>
      <c r="F5" s="5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7"/>
  <sheetViews>
    <sheetView workbookViewId="0">
      <selection activeCell="F6" sqref="F6"/>
    </sheetView>
  </sheetViews>
  <sheetFormatPr defaultColWidth="9" defaultRowHeight="13.5" outlineLevelRow="6" outlineLevelCol="5"/>
  <cols>
    <col min="3" max="3" width="14.5" customWidth="1"/>
    <col min="6" max="6" width="20.75" customWidth="1"/>
  </cols>
  <sheetData>
    <row r="1" ht="47" customHeight="1" spans="1:6">
      <c r="A1" s="1" t="s">
        <v>405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406</v>
      </c>
      <c r="D3" s="2" t="s">
        <v>262</v>
      </c>
      <c r="E3" s="2">
        <v>1</v>
      </c>
      <c r="F3" s="8" t="s">
        <v>329</v>
      </c>
    </row>
    <row r="4" ht="20" customHeight="1" spans="1:6">
      <c r="A4" s="2">
        <v>2</v>
      </c>
      <c r="B4" s="2" t="s">
        <v>304</v>
      </c>
      <c r="C4" s="2" t="s">
        <v>407</v>
      </c>
      <c r="D4" s="2" t="s">
        <v>262</v>
      </c>
      <c r="E4" s="2">
        <v>1</v>
      </c>
      <c r="F4" s="8" t="s">
        <v>408</v>
      </c>
    </row>
    <row r="5" ht="20" customHeight="1" spans="1:6">
      <c r="A5" s="2">
        <v>3</v>
      </c>
      <c r="B5" s="2" t="s">
        <v>304</v>
      </c>
      <c r="C5" s="2" t="s">
        <v>409</v>
      </c>
      <c r="D5" s="2" t="s">
        <v>262</v>
      </c>
      <c r="E5" s="2">
        <v>1</v>
      </c>
      <c r="F5" s="8" t="s">
        <v>410</v>
      </c>
    </row>
    <row r="6" ht="20" customHeight="1" spans="1:6">
      <c r="A6" s="2">
        <v>4</v>
      </c>
      <c r="B6" s="2" t="s">
        <v>304</v>
      </c>
      <c r="C6" s="2" t="s">
        <v>411</v>
      </c>
      <c r="D6" s="2" t="s">
        <v>268</v>
      </c>
      <c r="E6" s="2">
        <v>1</v>
      </c>
      <c r="F6" s="8" t="s">
        <v>410</v>
      </c>
    </row>
    <row r="7" ht="20" customHeight="1" spans="1:6">
      <c r="A7" s="2" t="s">
        <v>265</v>
      </c>
      <c r="B7" s="2"/>
      <c r="C7" s="2"/>
      <c r="D7" s="2"/>
      <c r="E7" s="2">
        <f>SUM(E3:E6)</f>
        <v>4</v>
      </c>
      <c r="F7" s="5"/>
    </row>
  </sheetData>
  <mergeCells count="1">
    <mergeCell ref="A1:F1"/>
  </mergeCells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6"/>
  <sheetViews>
    <sheetView topLeftCell="A2" workbookViewId="0">
      <selection activeCell="B6" sqref="B6:B15"/>
    </sheetView>
  </sheetViews>
  <sheetFormatPr defaultColWidth="9" defaultRowHeight="13.5" outlineLevelCol="5"/>
  <cols>
    <col min="3" max="3" width="14.5" customWidth="1"/>
    <col min="6" max="6" width="20.75" customWidth="1"/>
  </cols>
  <sheetData>
    <row r="1" ht="47" customHeight="1" spans="1:6">
      <c r="A1" s="1" t="s">
        <v>412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413</v>
      </c>
      <c r="D3" s="2" t="s">
        <v>268</v>
      </c>
      <c r="E3" s="2">
        <v>1</v>
      </c>
      <c r="F3" s="8" t="s">
        <v>329</v>
      </c>
    </row>
    <row r="4" ht="20" customHeight="1" spans="1:6">
      <c r="A4" s="2">
        <v>2</v>
      </c>
      <c r="B4" s="2" t="s">
        <v>304</v>
      </c>
      <c r="C4" s="2" t="s">
        <v>413</v>
      </c>
      <c r="D4" s="2" t="s">
        <v>268</v>
      </c>
      <c r="E4" s="2">
        <v>1</v>
      </c>
      <c r="F4" s="8" t="s">
        <v>329</v>
      </c>
    </row>
    <row r="5" ht="20" customHeight="1" spans="1:6">
      <c r="A5" s="2">
        <v>3</v>
      </c>
      <c r="B5" s="2" t="s">
        <v>304</v>
      </c>
      <c r="C5" s="2" t="s">
        <v>413</v>
      </c>
      <c r="D5" s="2" t="s">
        <v>268</v>
      </c>
      <c r="E5" s="2">
        <v>1</v>
      </c>
      <c r="F5" s="8" t="s">
        <v>329</v>
      </c>
    </row>
    <row r="6" ht="20" customHeight="1" spans="1:6">
      <c r="A6" s="2">
        <v>4</v>
      </c>
      <c r="B6" s="2" t="s">
        <v>304</v>
      </c>
      <c r="C6" s="2" t="s">
        <v>370</v>
      </c>
      <c r="D6" s="2" t="s">
        <v>268</v>
      </c>
      <c r="E6" s="2">
        <v>1</v>
      </c>
      <c r="F6" s="8" t="s">
        <v>329</v>
      </c>
    </row>
    <row r="7" ht="20" customHeight="1" spans="1:6">
      <c r="A7" s="2">
        <v>5</v>
      </c>
      <c r="B7" s="2" t="s">
        <v>304</v>
      </c>
      <c r="C7" s="2" t="s">
        <v>413</v>
      </c>
      <c r="D7" s="2" t="s">
        <v>268</v>
      </c>
      <c r="E7" s="2">
        <v>1</v>
      </c>
      <c r="F7" s="8" t="s">
        <v>329</v>
      </c>
    </row>
    <row r="8" ht="20" customHeight="1" spans="1:6">
      <c r="A8" s="2">
        <v>6</v>
      </c>
      <c r="B8" s="2" t="s">
        <v>304</v>
      </c>
      <c r="C8" s="2" t="s">
        <v>414</v>
      </c>
      <c r="D8" s="2" t="s">
        <v>262</v>
      </c>
      <c r="E8" s="2">
        <v>1</v>
      </c>
      <c r="F8" s="8" t="s">
        <v>408</v>
      </c>
    </row>
    <row r="9" ht="20" customHeight="1" spans="1:6">
      <c r="A9" s="2">
        <v>7</v>
      </c>
      <c r="B9" s="2" t="s">
        <v>304</v>
      </c>
      <c r="C9" s="2" t="s">
        <v>415</v>
      </c>
      <c r="D9" s="2" t="s">
        <v>268</v>
      </c>
      <c r="E9" s="2">
        <v>1</v>
      </c>
      <c r="F9" s="8" t="s">
        <v>416</v>
      </c>
    </row>
    <row r="10" ht="20" customHeight="1" spans="1:6">
      <c r="A10" s="2">
        <v>8</v>
      </c>
      <c r="B10" s="2" t="s">
        <v>304</v>
      </c>
      <c r="C10" s="2" t="s">
        <v>417</v>
      </c>
      <c r="D10" s="2" t="s">
        <v>268</v>
      </c>
      <c r="E10" s="2">
        <v>1</v>
      </c>
      <c r="F10" s="8" t="s">
        <v>416</v>
      </c>
    </row>
    <row r="11" ht="20" customHeight="1" spans="1:6">
      <c r="A11" s="2">
        <v>9</v>
      </c>
      <c r="B11" s="2" t="s">
        <v>304</v>
      </c>
      <c r="C11" s="2" t="s">
        <v>417</v>
      </c>
      <c r="D11" s="2" t="s">
        <v>268</v>
      </c>
      <c r="E11" s="2">
        <v>1</v>
      </c>
      <c r="F11" s="8" t="s">
        <v>416</v>
      </c>
    </row>
    <row r="12" ht="20" customHeight="1" spans="1:6">
      <c r="A12" s="2">
        <v>10</v>
      </c>
      <c r="B12" s="2" t="s">
        <v>304</v>
      </c>
      <c r="C12" s="2" t="s">
        <v>418</v>
      </c>
      <c r="D12" s="2" t="s">
        <v>268</v>
      </c>
      <c r="E12" s="2">
        <v>1</v>
      </c>
      <c r="F12" s="8" t="s">
        <v>416</v>
      </c>
    </row>
    <row r="13" ht="20" customHeight="1" spans="1:6">
      <c r="A13" s="2">
        <v>11</v>
      </c>
      <c r="B13" s="2" t="s">
        <v>304</v>
      </c>
      <c r="C13" s="2" t="s">
        <v>419</v>
      </c>
      <c r="D13" s="2" t="s">
        <v>268</v>
      </c>
      <c r="E13" s="2">
        <v>1</v>
      </c>
      <c r="F13" s="8" t="s">
        <v>420</v>
      </c>
    </row>
    <row r="14" ht="20" customHeight="1" spans="1:6">
      <c r="A14" s="2">
        <v>12</v>
      </c>
      <c r="B14" s="2" t="s">
        <v>304</v>
      </c>
      <c r="C14" s="2" t="s">
        <v>421</v>
      </c>
      <c r="D14" s="2" t="s">
        <v>262</v>
      </c>
      <c r="E14" s="2">
        <v>1</v>
      </c>
      <c r="F14" s="8" t="s">
        <v>420</v>
      </c>
    </row>
    <row r="15" ht="20" customHeight="1" spans="1:6">
      <c r="A15" s="2">
        <v>13</v>
      </c>
      <c r="B15" s="2" t="s">
        <v>304</v>
      </c>
      <c r="C15" s="2" t="s">
        <v>422</v>
      </c>
      <c r="D15" s="2" t="s">
        <v>268</v>
      </c>
      <c r="E15" s="2">
        <v>1</v>
      </c>
      <c r="F15" s="8" t="s">
        <v>420</v>
      </c>
    </row>
    <row r="16" ht="20" customHeight="1" spans="1:6">
      <c r="A16" s="2" t="s">
        <v>265</v>
      </c>
      <c r="B16" s="2"/>
      <c r="C16" s="2"/>
      <c r="D16" s="2"/>
      <c r="E16" s="2">
        <f>SUM(E3:E15)</f>
        <v>13</v>
      </c>
      <c r="F16" s="5"/>
    </row>
  </sheetData>
  <mergeCells count="1">
    <mergeCell ref="A1:F1"/>
  </mergeCells>
  <pageMargins left="0.75" right="0.75" top="1" bottom="1" header="0.5" footer="0.5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A4" sqref="A4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423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424</v>
      </c>
      <c r="D3" s="2" t="s">
        <v>268</v>
      </c>
      <c r="E3" s="2">
        <v>1</v>
      </c>
      <c r="F3" s="8" t="s">
        <v>420</v>
      </c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1">
    <mergeCell ref="A1:F1"/>
  </mergeCells>
  <pageMargins left="0.75" right="0.75" top="1" bottom="1" header="0.5" footer="0.5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1"/>
  <sheetViews>
    <sheetView workbookViewId="0">
      <selection activeCell="E12" sqref="E12"/>
    </sheetView>
  </sheetViews>
  <sheetFormatPr defaultColWidth="9" defaultRowHeight="13.5" outlineLevelCol="5"/>
  <cols>
    <col min="3" max="3" width="14.5" customWidth="1"/>
    <col min="6" max="6" width="20.75" customWidth="1"/>
  </cols>
  <sheetData>
    <row r="1" ht="47" customHeight="1" spans="1:6">
      <c r="A1" s="1" t="s">
        <v>425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426</v>
      </c>
      <c r="D3" s="2" t="s">
        <v>268</v>
      </c>
      <c r="E3" s="2">
        <v>1</v>
      </c>
      <c r="F3" s="8" t="s">
        <v>416</v>
      </c>
    </row>
    <row r="4" ht="20" customHeight="1" spans="1:6">
      <c r="A4" s="2">
        <v>2</v>
      </c>
      <c r="B4" s="2" t="s">
        <v>304</v>
      </c>
      <c r="C4" s="2" t="s">
        <v>427</v>
      </c>
      <c r="D4" s="2" t="s">
        <v>268</v>
      </c>
      <c r="E4" s="2">
        <v>1</v>
      </c>
      <c r="F4" s="8" t="s">
        <v>416</v>
      </c>
    </row>
    <row r="5" ht="20" customHeight="1" spans="1:6">
      <c r="A5" s="2">
        <v>3</v>
      </c>
      <c r="B5" s="2" t="s">
        <v>304</v>
      </c>
      <c r="C5" s="2" t="s">
        <v>428</v>
      </c>
      <c r="D5" s="2" t="s">
        <v>268</v>
      </c>
      <c r="E5" s="2">
        <v>1</v>
      </c>
      <c r="F5" s="8" t="s">
        <v>420</v>
      </c>
    </row>
    <row r="6" ht="20" customHeight="1" spans="1:6">
      <c r="A6" s="2">
        <v>4</v>
      </c>
      <c r="B6" s="2" t="s">
        <v>304</v>
      </c>
      <c r="C6" s="2" t="s">
        <v>429</v>
      </c>
      <c r="D6" s="2" t="s">
        <v>268</v>
      </c>
      <c r="E6" s="2">
        <v>1</v>
      </c>
      <c r="F6" s="8" t="s">
        <v>420</v>
      </c>
    </row>
    <row r="7" ht="20" customHeight="1" spans="1:6">
      <c r="A7" s="2">
        <v>5</v>
      </c>
      <c r="B7" s="2" t="s">
        <v>304</v>
      </c>
      <c r="C7" s="2" t="s">
        <v>430</v>
      </c>
      <c r="D7" s="2" t="s">
        <v>262</v>
      </c>
      <c r="E7" s="2">
        <v>1</v>
      </c>
      <c r="F7" s="8" t="s">
        <v>420</v>
      </c>
    </row>
    <row r="8" ht="20" customHeight="1" spans="1:6">
      <c r="A8" s="2">
        <v>6</v>
      </c>
      <c r="B8" s="2" t="s">
        <v>304</v>
      </c>
      <c r="C8" s="2" t="s">
        <v>431</v>
      </c>
      <c r="D8" s="2" t="s">
        <v>268</v>
      </c>
      <c r="E8" s="2">
        <v>1</v>
      </c>
      <c r="F8" s="8" t="s">
        <v>420</v>
      </c>
    </row>
    <row r="9" ht="20" customHeight="1" spans="1:6">
      <c r="A9" s="2">
        <v>7</v>
      </c>
      <c r="B9" s="2" t="s">
        <v>304</v>
      </c>
      <c r="C9" s="2" t="s">
        <v>422</v>
      </c>
      <c r="D9" s="2" t="s">
        <v>268</v>
      </c>
      <c r="E9" s="2">
        <v>1</v>
      </c>
      <c r="F9" s="8" t="s">
        <v>420</v>
      </c>
    </row>
    <row r="10" ht="20" customHeight="1" spans="1:6">
      <c r="A10" s="2">
        <v>8</v>
      </c>
      <c r="B10" s="2" t="s">
        <v>304</v>
      </c>
      <c r="C10" s="2" t="s">
        <v>431</v>
      </c>
      <c r="D10" s="2" t="s">
        <v>268</v>
      </c>
      <c r="E10" s="2">
        <v>1</v>
      </c>
      <c r="F10" s="8" t="s">
        <v>432</v>
      </c>
    </row>
    <row r="11" ht="20" customHeight="1" spans="1:6">
      <c r="A11" s="2" t="s">
        <v>265</v>
      </c>
      <c r="B11" s="2"/>
      <c r="C11" s="2"/>
      <c r="D11" s="2"/>
      <c r="E11" s="2">
        <f>SUM(E3:E10)</f>
        <v>8</v>
      </c>
      <c r="F11" s="5"/>
    </row>
  </sheetData>
  <mergeCells count="1">
    <mergeCell ref="A1:F1"/>
  </mergeCells>
  <pageMargins left="0.75" right="0.75" top="1" bottom="1" header="0.5" footer="0.5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9"/>
  <sheetViews>
    <sheetView topLeftCell="A2" workbookViewId="0">
      <selection activeCell="A9" sqref="$A9:$XFD10"/>
    </sheetView>
  </sheetViews>
  <sheetFormatPr defaultColWidth="9" defaultRowHeight="13.5" outlineLevelCol="5"/>
  <cols>
    <col min="3" max="3" width="14.5" customWidth="1"/>
    <col min="6" max="6" width="20.75" customWidth="1"/>
  </cols>
  <sheetData>
    <row r="1" ht="47" customHeight="1" spans="1:6">
      <c r="A1" s="1" t="s">
        <v>433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434</v>
      </c>
      <c r="D3" s="2" t="s">
        <v>262</v>
      </c>
      <c r="E3" s="2">
        <v>1</v>
      </c>
      <c r="F3" s="8" t="s">
        <v>329</v>
      </c>
    </row>
    <row r="4" ht="20" customHeight="1" spans="1:6">
      <c r="A4" s="2">
        <v>2</v>
      </c>
      <c r="B4" s="2" t="s">
        <v>304</v>
      </c>
      <c r="C4" s="2" t="s">
        <v>435</v>
      </c>
      <c r="D4" s="2" t="s">
        <v>268</v>
      </c>
      <c r="E4" s="2">
        <v>1</v>
      </c>
      <c r="F4" s="8" t="s">
        <v>410</v>
      </c>
    </row>
    <row r="5" ht="20" customHeight="1" spans="1:6">
      <c r="A5" s="2">
        <v>3</v>
      </c>
      <c r="B5" s="2" t="s">
        <v>304</v>
      </c>
      <c r="C5" s="2" t="s">
        <v>436</v>
      </c>
      <c r="D5" s="2" t="s">
        <v>268</v>
      </c>
      <c r="E5" s="2">
        <v>1</v>
      </c>
      <c r="F5" s="8" t="s">
        <v>410</v>
      </c>
    </row>
    <row r="6" ht="20" customHeight="1" spans="1:6">
      <c r="A6" s="2">
        <v>4</v>
      </c>
      <c r="B6" s="2" t="s">
        <v>304</v>
      </c>
      <c r="C6" s="2" t="s">
        <v>437</v>
      </c>
      <c r="D6" s="2" t="s">
        <v>262</v>
      </c>
      <c r="E6" s="2">
        <v>1</v>
      </c>
      <c r="F6" s="8" t="s">
        <v>438</v>
      </c>
    </row>
    <row r="7" ht="20" customHeight="1" spans="1:6">
      <c r="A7" s="2">
        <v>5</v>
      </c>
      <c r="B7" s="2" t="s">
        <v>304</v>
      </c>
      <c r="C7" s="2" t="s">
        <v>439</v>
      </c>
      <c r="D7" s="2" t="s">
        <v>262</v>
      </c>
      <c r="E7" s="2">
        <v>1</v>
      </c>
      <c r="F7" s="8" t="s">
        <v>440</v>
      </c>
    </row>
    <row r="8" ht="20" customHeight="1" spans="1:6">
      <c r="A8" s="2">
        <v>6</v>
      </c>
      <c r="B8" s="2" t="s">
        <v>304</v>
      </c>
      <c r="C8" s="2" t="s">
        <v>441</v>
      </c>
      <c r="D8" s="2" t="s">
        <v>268</v>
      </c>
      <c r="E8" s="2">
        <v>1</v>
      </c>
      <c r="F8" s="8" t="s">
        <v>440</v>
      </c>
    </row>
    <row r="9" ht="20" customHeight="1" spans="1:6">
      <c r="A9" s="2" t="s">
        <v>265</v>
      </c>
      <c r="B9" s="2"/>
      <c r="C9" s="2"/>
      <c r="D9" s="2"/>
      <c r="E9" s="2">
        <f>SUM(E3:E8)</f>
        <v>6</v>
      </c>
      <c r="F9" s="5"/>
    </row>
  </sheetData>
  <mergeCells count="1">
    <mergeCell ref="A1:F1"/>
  </mergeCells>
  <pageMargins left="0.75" right="0.75" top="1" bottom="1" header="0.5" footer="0.5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F4" sqref="F4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442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443</v>
      </c>
      <c r="D3" s="2" t="s">
        <v>268</v>
      </c>
      <c r="E3" s="2">
        <v>1</v>
      </c>
      <c r="F3" s="8" t="s">
        <v>440</v>
      </c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1">
    <mergeCell ref="A1:F1"/>
  </mergeCells>
  <pageMargins left="0.75" right="0.75" top="1" bottom="1" header="0.5" footer="0.5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A1" sqref="A1:F1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444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443</v>
      </c>
      <c r="D3" s="2" t="s">
        <v>268</v>
      </c>
      <c r="E3" s="2">
        <v>1</v>
      </c>
      <c r="F3" s="8" t="s">
        <v>440</v>
      </c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1">
    <mergeCell ref="A1:F1"/>
  </mergeCells>
  <pageMargins left="0.75" right="0.75" top="1" bottom="1" header="0.5" footer="0.5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6"/>
  <sheetViews>
    <sheetView workbookViewId="0">
      <selection activeCell="E7" sqref="E7"/>
    </sheetView>
  </sheetViews>
  <sheetFormatPr defaultColWidth="9" defaultRowHeight="13.5" outlineLevelRow="5" outlineLevelCol="5"/>
  <cols>
    <col min="3" max="3" width="14.5" customWidth="1"/>
    <col min="6" max="6" width="20.75" customWidth="1"/>
  </cols>
  <sheetData>
    <row r="1" ht="47" customHeight="1" spans="1:6">
      <c r="A1" s="1" t="s">
        <v>445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441</v>
      </c>
      <c r="D3" s="2" t="s">
        <v>268</v>
      </c>
      <c r="E3" s="2">
        <v>1</v>
      </c>
      <c r="F3" s="8" t="s">
        <v>440</v>
      </c>
    </row>
    <row r="4" ht="20" customHeight="1" spans="1:6">
      <c r="A4" s="2">
        <v>2</v>
      </c>
      <c r="B4" s="2" t="s">
        <v>304</v>
      </c>
      <c r="C4" s="2" t="s">
        <v>443</v>
      </c>
      <c r="D4" s="2" t="s">
        <v>268</v>
      </c>
      <c r="E4" s="2">
        <v>1</v>
      </c>
      <c r="F4" s="8" t="s">
        <v>440</v>
      </c>
    </row>
    <row r="5" ht="20" customHeight="1" spans="1:6">
      <c r="A5" s="2">
        <v>3</v>
      </c>
      <c r="B5" s="2" t="s">
        <v>304</v>
      </c>
      <c r="C5" s="2" t="s">
        <v>426</v>
      </c>
      <c r="D5" s="2" t="s">
        <v>268</v>
      </c>
      <c r="E5" s="2">
        <v>1</v>
      </c>
      <c r="F5" s="8" t="s">
        <v>416</v>
      </c>
    </row>
    <row r="6" ht="20" customHeight="1" spans="1:6">
      <c r="A6" s="2" t="s">
        <v>265</v>
      </c>
      <c r="B6" s="2"/>
      <c r="C6" s="2"/>
      <c r="D6" s="2"/>
      <c r="E6" s="2">
        <f>SUM(E3:E5)</f>
        <v>3</v>
      </c>
      <c r="F6" s="5"/>
    </row>
  </sheetData>
  <mergeCells count="1">
    <mergeCell ref="A1:F1"/>
  </mergeCells>
  <pageMargins left="0.75" right="0.75" top="1" bottom="1" header="0.5" footer="0.5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F4" sqref="F4"/>
    </sheetView>
  </sheetViews>
  <sheetFormatPr defaultColWidth="9" defaultRowHeight="13.5" outlineLevelRow="4" outlineLevelCol="5"/>
  <cols>
    <col min="3" max="3" width="14.5" customWidth="1"/>
    <col min="6" max="6" width="20.75" customWidth="1"/>
  </cols>
  <sheetData>
    <row r="1" ht="47" customHeight="1" spans="1:6">
      <c r="A1" s="1" t="s">
        <v>446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447</v>
      </c>
      <c r="D3" s="2" t="s">
        <v>268</v>
      </c>
      <c r="E3" s="2">
        <v>1</v>
      </c>
      <c r="F3" s="8" t="s">
        <v>317</v>
      </c>
    </row>
    <row r="4" ht="20" customHeight="1" spans="1:6">
      <c r="A4" s="2">
        <v>2</v>
      </c>
      <c r="B4" s="2" t="s">
        <v>304</v>
      </c>
      <c r="C4" s="2" t="s">
        <v>448</v>
      </c>
      <c r="D4" s="2" t="s">
        <v>262</v>
      </c>
      <c r="E4" s="2">
        <v>1</v>
      </c>
      <c r="F4" s="8" t="s">
        <v>317</v>
      </c>
    </row>
    <row r="5" ht="20" customHeight="1" spans="1:6">
      <c r="A5" s="2" t="s">
        <v>265</v>
      </c>
      <c r="B5" s="2"/>
      <c r="C5" s="2"/>
      <c r="D5" s="2"/>
      <c r="E5" s="2">
        <f>SUM(E3:E4)</f>
        <v>2</v>
      </c>
      <c r="F5" s="5"/>
    </row>
  </sheetData>
  <mergeCells count="1">
    <mergeCell ref="A1:F1"/>
  </mergeCells>
  <pageMargins left="0.75" right="0.75" top="1" bottom="1" header="0.5" footer="0.5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H5" sqref="H5"/>
    </sheetView>
  </sheetViews>
  <sheetFormatPr defaultColWidth="9" defaultRowHeight="13.5" outlineLevelRow="4" outlineLevelCol="5"/>
  <cols>
    <col min="3" max="3" width="14.5" customWidth="1"/>
    <col min="6" max="6" width="20.75" customWidth="1"/>
  </cols>
  <sheetData>
    <row r="1" ht="47" customHeight="1" spans="1:6">
      <c r="A1" s="1" t="s">
        <v>449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447</v>
      </c>
      <c r="D3" s="2" t="s">
        <v>268</v>
      </c>
      <c r="E3" s="2">
        <v>2</v>
      </c>
      <c r="F3" s="8" t="s">
        <v>317</v>
      </c>
    </row>
    <row r="4" ht="20" customHeight="1" spans="1:6">
      <c r="A4" s="2">
        <v>2</v>
      </c>
      <c r="B4" s="2" t="s">
        <v>304</v>
      </c>
      <c r="C4" s="2" t="s">
        <v>448</v>
      </c>
      <c r="D4" s="2" t="s">
        <v>262</v>
      </c>
      <c r="E4" s="2">
        <v>2</v>
      </c>
      <c r="F4" s="8" t="s">
        <v>317</v>
      </c>
    </row>
    <row r="5" ht="20" customHeight="1" spans="1:6">
      <c r="A5" s="2" t="s">
        <v>265</v>
      </c>
      <c r="B5" s="2"/>
      <c r="C5" s="2"/>
      <c r="D5" s="2"/>
      <c r="E5" s="2">
        <f>SUM(E3:E4)</f>
        <v>4</v>
      </c>
      <c r="F5" s="5"/>
    </row>
  </sheetData>
  <mergeCells count="1">
    <mergeCell ref="A1:F1"/>
  </mergeCells>
  <pageMargins left="0.75" right="0.75" top="1" bottom="1" header="0.5" footer="0.5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E5" sqref="E5"/>
    </sheetView>
  </sheetViews>
  <sheetFormatPr defaultColWidth="9" defaultRowHeight="13.5" outlineLevelRow="4" outlineLevelCol="5"/>
  <cols>
    <col min="3" max="3" width="14.5" customWidth="1"/>
    <col min="6" max="6" width="20.75" customWidth="1"/>
  </cols>
  <sheetData>
    <row r="1" ht="47" customHeight="1" spans="1:6">
      <c r="A1" s="1" t="s">
        <v>450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447</v>
      </c>
      <c r="D3" s="2" t="s">
        <v>268</v>
      </c>
      <c r="E3" s="2">
        <v>12</v>
      </c>
      <c r="F3" s="8" t="s">
        <v>317</v>
      </c>
    </row>
    <row r="4" ht="20" customHeight="1" spans="1:6">
      <c r="A4" s="2">
        <v>2</v>
      </c>
      <c r="B4" s="2" t="s">
        <v>304</v>
      </c>
      <c r="C4" s="2" t="s">
        <v>448</v>
      </c>
      <c r="D4" s="2" t="s">
        <v>262</v>
      </c>
      <c r="E4" s="2">
        <v>13</v>
      </c>
      <c r="F4" s="8" t="s">
        <v>317</v>
      </c>
    </row>
    <row r="5" ht="20" customHeight="1" spans="1:6">
      <c r="A5" s="2" t="s">
        <v>265</v>
      </c>
      <c r="B5" s="2"/>
      <c r="C5" s="2"/>
      <c r="D5" s="2"/>
      <c r="E5" s="2">
        <f>SUM(E3:E4)</f>
        <v>25</v>
      </c>
      <c r="F5" s="5"/>
    </row>
  </sheetData>
  <mergeCells count="1">
    <mergeCell ref="A1:F1"/>
  </mergeCells>
  <pageMargins left="0.75" right="0.75" top="1" bottom="1" header="0.5" footer="0.5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E5" sqref="E5"/>
    </sheetView>
  </sheetViews>
  <sheetFormatPr defaultColWidth="9" defaultRowHeight="13.5" outlineLevelRow="4" outlineLevelCol="5"/>
  <cols>
    <col min="3" max="3" width="14.5" customWidth="1"/>
    <col min="6" max="6" width="20.75" customWidth="1"/>
  </cols>
  <sheetData>
    <row r="1" ht="47" customHeight="1" spans="1:6">
      <c r="A1" s="1" t="s">
        <v>451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447</v>
      </c>
      <c r="D3" s="2" t="s">
        <v>268</v>
      </c>
      <c r="E3" s="2">
        <v>15</v>
      </c>
      <c r="F3" s="8" t="s">
        <v>317</v>
      </c>
    </row>
    <row r="4" ht="20" customHeight="1" spans="1:6">
      <c r="A4" s="2">
        <v>2</v>
      </c>
      <c r="B4" s="2" t="s">
        <v>304</v>
      </c>
      <c r="C4" s="2" t="s">
        <v>448</v>
      </c>
      <c r="D4" s="2" t="s">
        <v>262</v>
      </c>
      <c r="E4" s="2">
        <v>15</v>
      </c>
      <c r="F4" s="8" t="s">
        <v>317</v>
      </c>
    </row>
    <row r="5" ht="20" customHeight="1" spans="1:6">
      <c r="A5" s="2" t="s">
        <v>265</v>
      </c>
      <c r="B5" s="2"/>
      <c r="C5" s="2"/>
      <c r="D5" s="2"/>
      <c r="E5" s="2">
        <f>SUM(E3:E4)</f>
        <v>30</v>
      </c>
      <c r="F5" s="5"/>
    </row>
  </sheetData>
  <mergeCells count="1">
    <mergeCell ref="A1:F1"/>
  </mergeCells>
  <pageMargins left="0.75" right="0.75" top="1" bottom="1" header="0.5" footer="0.5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E5" sqref="E5"/>
    </sheetView>
  </sheetViews>
  <sheetFormatPr defaultColWidth="9" defaultRowHeight="13.5" outlineLevelRow="4" outlineLevelCol="5"/>
  <cols>
    <col min="3" max="3" width="14.5" customWidth="1"/>
    <col min="6" max="6" width="20.75" customWidth="1"/>
  </cols>
  <sheetData>
    <row r="1" ht="47" customHeight="1" spans="1:6">
      <c r="A1" s="1" t="s">
        <v>452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447</v>
      </c>
      <c r="D3" s="2" t="s">
        <v>268</v>
      </c>
      <c r="E3" s="2">
        <v>14</v>
      </c>
      <c r="F3" s="8" t="s">
        <v>317</v>
      </c>
    </row>
    <row r="4" ht="20" customHeight="1" spans="1:6">
      <c r="A4" s="2">
        <v>2</v>
      </c>
      <c r="B4" s="2" t="s">
        <v>304</v>
      </c>
      <c r="C4" s="2" t="s">
        <v>448</v>
      </c>
      <c r="D4" s="2" t="s">
        <v>262</v>
      </c>
      <c r="E4" s="2">
        <v>14</v>
      </c>
      <c r="F4" s="8" t="s">
        <v>317</v>
      </c>
    </row>
    <row r="5" ht="20" customHeight="1" spans="1:6">
      <c r="A5" s="2" t="s">
        <v>265</v>
      </c>
      <c r="B5" s="2"/>
      <c r="C5" s="2"/>
      <c r="D5" s="2"/>
      <c r="E5" s="2">
        <f>SUM(E3:E4)</f>
        <v>28</v>
      </c>
      <c r="F5" s="5"/>
    </row>
  </sheetData>
  <mergeCells count="1">
    <mergeCell ref="A1:F1"/>
  </mergeCells>
  <pageMargins left="0.75" right="0.75" top="1" bottom="1" header="0.5" footer="0.5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E4" sqref="E4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453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443</v>
      </c>
      <c r="D3" s="2" t="s">
        <v>268</v>
      </c>
      <c r="E3" s="2">
        <v>30</v>
      </c>
      <c r="F3" s="8" t="s">
        <v>317</v>
      </c>
    </row>
    <row r="4" ht="20" customHeight="1" spans="1:6">
      <c r="A4" s="2" t="s">
        <v>265</v>
      </c>
      <c r="B4" s="2"/>
      <c r="C4" s="2"/>
      <c r="D4" s="2"/>
      <c r="E4" s="2">
        <f>SUM(E3:E3)</f>
        <v>30</v>
      </c>
      <c r="F4" s="5"/>
    </row>
  </sheetData>
  <mergeCells count="1">
    <mergeCell ref="A1:F1"/>
  </mergeCells>
  <pageMargins left="0.75" right="0.75" top="1" bottom="1" header="0.5" footer="0.5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F3" sqref="F3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454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455</v>
      </c>
      <c r="C3" s="2" t="s">
        <v>456</v>
      </c>
      <c r="D3" s="2" t="s">
        <v>268</v>
      </c>
      <c r="E3" s="2">
        <v>1</v>
      </c>
      <c r="F3" s="8" t="s">
        <v>317</v>
      </c>
    </row>
    <row r="4" ht="20" customHeight="1" spans="1:6">
      <c r="A4" s="2" t="s">
        <v>265</v>
      </c>
      <c r="B4" s="2"/>
      <c r="C4" s="2"/>
      <c r="D4" s="2"/>
      <c r="E4" s="2">
        <f>SUM(E3:E3)</f>
        <v>1</v>
      </c>
      <c r="F4" s="5"/>
    </row>
  </sheetData>
  <mergeCells count="1">
    <mergeCell ref="A1:F1"/>
  </mergeCells>
  <pageMargins left="0.75" right="0.75" top="1" bottom="1" header="0.5" footer="0.5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topLeftCell="A2" workbookViewId="0">
      <selection activeCell="E4" sqref="E4"/>
    </sheetView>
  </sheetViews>
  <sheetFormatPr defaultColWidth="9" defaultRowHeight="13.5" outlineLevelRow="3" outlineLevelCol="5"/>
  <cols>
    <col min="3" max="3" width="14.5" customWidth="1"/>
    <col min="6" max="6" width="20.75" customWidth="1"/>
  </cols>
  <sheetData>
    <row r="1" ht="47" customHeight="1" spans="1:6">
      <c r="A1" s="1" t="s">
        <v>457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458</v>
      </c>
      <c r="D3" s="2" t="s">
        <v>459</v>
      </c>
      <c r="E3" s="2">
        <v>500</v>
      </c>
      <c r="F3" s="8" t="s">
        <v>317</v>
      </c>
    </row>
    <row r="4" ht="20" customHeight="1" spans="1:6">
      <c r="A4" s="2" t="s">
        <v>265</v>
      </c>
      <c r="B4" s="2"/>
      <c r="C4" s="2"/>
      <c r="D4" s="2"/>
      <c r="E4" s="2">
        <f>SUM(E3:E3)</f>
        <v>500</v>
      </c>
      <c r="F4" s="5"/>
    </row>
  </sheetData>
  <mergeCells count="1">
    <mergeCell ref="A1:F1"/>
  </mergeCells>
  <pageMargins left="0.75" right="0.75" top="1" bottom="1" header="0.5" footer="0.5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3"/>
  <sheetViews>
    <sheetView workbookViewId="0">
      <selection activeCell="A3" sqref="A3:A12"/>
    </sheetView>
  </sheetViews>
  <sheetFormatPr defaultColWidth="9" defaultRowHeight="13.5" outlineLevelCol="5"/>
  <cols>
    <col min="3" max="3" width="17" customWidth="1"/>
    <col min="6" max="6" width="20.75" customWidth="1"/>
  </cols>
  <sheetData>
    <row r="1" ht="47" customHeight="1" spans="1:6">
      <c r="A1" s="1" t="s">
        <v>460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 t="s">
        <v>462</v>
      </c>
      <c r="C3" s="2" t="s">
        <v>463</v>
      </c>
      <c r="D3" s="2"/>
      <c r="E3" s="2">
        <v>479</v>
      </c>
      <c r="F3" s="3" t="s">
        <v>464</v>
      </c>
    </row>
    <row r="4" ht="20" customHeight="1" spans="1:6">
      <c r="A4" s="2">
        <v>2</v>
      </c>
      <c r="B4" s="2" t="s">
        <v>465</v>
      </c>
      <c r="C4" s="2" t="s">
        <v>466</v>
      </c>
      <c r="D4" s="2"/>
      <c r="E4" s="2">
        <v>489</v>
      </c>
      <c r="F4" s="4"/>
    </row>
    <row r="5" ht="20" customHeight="1" spans="1:6">
      <c r="A5" s="2">
        <v>3</v>
      </c>
      <c r="B5" s="2" t="s">
        <v>467</v>
      </c>
      <c r="C5" s="2" t="s">
        <v>468</v>
      </c>
      <c r="D5" s="2"/>
      <c r="E5" s="2">
        <v>166</v>
      </c>
      <c r="F5" s="4"/>
    </row>
    <row r="6" ht="20" customHeight="1" spans="1:6">
      <c r="A6" s="2">
        <v>4</v>
      </c>
      <c r="B6" s="2" t="s">
        <v>467</v>
      </c>
      <c r="C6" s="2" t="s">
        <v>469</v>
      </c>
      <c r="D6" s="2"/>
      <c r="E6" s="2">
        <v>24</v>
      </c>
      <c r="F6" s="4"/>
    </row>
    <row r="7" ht="20" customHeight="1" spans="1:6">
      <c r="A7" s="2">
        <v>5</v>
      </c>
      <c r="B7" s="2" t="s">
        <v>470</v>
      </c>
      <c r="C7" s="2" t="s">
        <v>471</v>
      </c>
      <c r="D7" s="2"/>
      <c r="E7" s="2">
        <v>28</v>
      </c>
      <c r="F7" s="4"/>
    </row>
    <row r="8" ht="20" customHeight="1" spans="1:6">
      <c r="A8" s="2">
        <v>6</v>
      </c>
      <c r="B8" s="2" t="s">
        <v>470</v>
      </c>
      <c r="C8" s="2" t="s">
        <v>472</v>
      </c>
      <c r="D8" s="2"/>
      <c r="E8" s="2">
        <v>29</v>
      </c>
      <c r="F8" s="4"/>
    </row>
    <row r="9" ht="20" customHeight="1" spans="1:6">
      <c r="A9" s="2">
        <v>7</v>
      </c>
      <c r="B9" s="2" t="s">
        <v>470</v>
      </c>
      <c r="C9" s="2" t="s">
        <v>473</v>
      </c>
      <c r="D9" s="2"/>
      <c r="E9" s="2">
        <v>16</v>
      </c>
      <c r="F9" s="4"/>
    </row>
    <row r="10" ht="20" customHeight="1" spans="1:6">
      <c r="A10" s="2">
        <v>8</v>
      </c>
      <c r="B10" s="2" t="s">
        <v>470</v>
      </c>
      <c r="C10" s="2" t="s">
        <v>474</v>
      </c>
      <c r="D10" s="2"/>
      <c r="E10" s="2">
        <v>15</v>
      </c>
      <c r="F10" s="4"/>
    </row>
    <row r="11" ht="20" customHeight="1" spans="1:6">
      <c r="A11" s="2">
        <v>9</v>
      </c>
      <c r="B11" s="2"/>
      <c r="C11" s="2" t="s">
        <v>475</v>
      </c>
      <c r="D11" s="2"/>
      <c r="E11" s="2">
        <v>30</v>
      </c>
      <c r="F11" s="4"/>
    </row>
    <row r="12" ht="20" customHeight="1" spans="1:6">
      <c r="A12" s="2">
        <v>10</v>
      </c>
      <c r="B12" s="2"/>
      <c r="C12" s="2" t="s">
        <v>476</v>
      </c>
      <c r="D12" s="2"/>
      <c r="E12" s="2">
        <v>189</v>
      </c>
      <c r="F12" s="7"/>
    </row>
    <row r="13" ht="20" customHeight="1" spans="1:6">
      <c r="A13" s="2" t="s">
        <v>265</v>
      </c>
      <c r="B13" s="2"/>
      <c r="C13" s="2"/>
      <c r="D13" s="2"/>
      <c r="E13" s="2">
        <f>SUM(E3:E12)</f>
        <v>1465</v>
      </c>
      <c r="F13" s="5"/>
    </row>
  </sheetData>
  <mergeCells count="2">
    <mergeCell ref="A1:F1"/>
    <mergeCell ref="F3:F12"/>
  </mergeCells>
  <pageMargins left="0.75" right="0.75" top="1" bottom="1" header="0.5" footer="0.5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0"/>
  <sheetViews>
    <sheetView workbookViewId="0">
      <selection activeCell="A3" sqref="A3:A9"/>
    </sheetView>
  </sheetViews>
  <sheetFormatPr defaultColWidth="9" defaultRowHeight="13.5" outlineLevelCol="5"/>
  <cols>
    <col min="3" max="3" width="17" customWidth="1"/>
    <col min="6" max="6" width="20.75" customWidth="1"/>
  </cols>
  <sheetData>
    <row r="1" ht="47" customHeight="1" spans="1:6">
      <c r="A1" s="1" t="s">
        <v>477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 t="s">
        <v>462</v>
      </c>
      <c r="C3" s="2" t="s">
        <v>463</v>
      </c>
      <c r="D3" s="2"/>
      <c r="E3" s="2">
        <v>532</v>
      </c>
      <c r="F3" s="3" t="s">
        <v>464</v>
      </c>
    </row>
    <row r="4" ht="20" customHeight="1" spans="1:6">
      <c r="A4" s="2">
        <v>2</v>
      </c>
      <c r="B4" s="2" t="s">
        <v>465</v>
      </c>
      <c r="C4" s="2" t="s">
        <v>466</v>
      </c>
      <c r="D4" s="2"/>
      <c r="E4" s="2">
        <v>544</v>
      </c>
      <c r="F4" s="4"/>
    </row>
    <row r="5" ht="20" customHeight="1" spans="1:6">
      <c r="A5" s="2">
        <v>3</v>
      </c>
      <c r="B5" s="2" t="s">
        <v>467</v>
      </c>
      <c r="C5" s="2" t="s">
        <v>468</v>
      </c>
      <c r="D5" s="2"/>
      <c r="E5" s="2">
        <v>184</v>
      </c>
      <c r="F5" s="4"/>
    </row>
    <row r="6" ht="20" customHeight="1" spans="1:6">
      <c r="A6" s="2">
        <v>4</v>
      </c>
      <c r="B6" s="2" t="s">
        <v>470</v>
      </c>
      <c r="C6" s="2" t="s">
        <v>471</v>
      </c>
      <c r="D6" s="2"/>
      <c r="E6" s="2">
        <v>92</v>
      </c>
      <c r="F6" s="4"/>
    </row>
    <row r="7" ht="20" customHeight="1" spans="1:6">
      <c r="A7" s="2">
        <v>5</v>
      </c>
      <c r="B7" s="2" t="s">
        <v>470</v>
      </c>
      <c r="C7" s="2" t="s">
        <v>472</v>
      </c>
      <c r="D7" s="2"/>
      <c r="E7" s="2">
        <v>95</v>
      </c>
      <c r="F7" s="4"/>
    </row>
    <row r="8" ht="20" customHeight="1" spans="1:6">
      <c r="A8" s="2">
        <v>6</v>
      </c>
      <c r="B8" s="2" t="s">
        <v>470</v>
      </c>
      <c r="C8" s="2" t="s">
        <v>473</v>
      </c>
      <c r="D8" s="2"/>
      <c r="E8" s="2">
        <v>53</v>
      </c>
      <c r="F8" s="4"/>
    </row>
    <row r="9" ht="20" customHeight="1" spans="1:6">
      <c r="A9" s="2">
        <v>7</v>
      </c>
      <c r="B9" s="2" t="s">
        <v>470</v>
      </c>
      <c r="C9" s="2" t="s">
        <v>474</v>
      </c>
      <c r="D9" s="2"/>
      <c r="E9" s="2">
        <v>50</v>
      </c>
      <c r="F9" s="4"/>
    </row>
    <row r="10" ht="20" customHeight="1" spans="1:6">
      <c r="A10" s="2" t="s">
        <v>265</v>
      </c>
      <c r="B10" s="2"/>
      <c r="C10" s="2"/>
      <c r="D10" s="2"/>
      <c r="E10" s="2">
        <f>SUM(E3:E9)</f>
        <v>1550</v>
      </c>
      <c r="F10" s="5"/>
    </row>
  </sheetData>
  <mergeCells count="2">
    <mergeCell ref="A1:F1"/>
    <mergeCell ref="F3:F9"/>
  </mergeCells>
  <pageMargins left="0.75" right="0.75" top="1" bottom="1" header="0.5" footer="0.5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0"/>
  <sheetViews>
    <sheetView workbookViewId="0">
      <selection activeCell="F3" sqref="F3:F9"/>
    </sheetView>
  </sheetViews>
  <sheetFormatPr defaultColWidth="9" defaultRowHeight="13.5" outlineLevelCol="5"/>
  <cols>
    <col min="6" max="6" width="17.875" customWidth="1"/>
  </cols>
  <sheetData>
    <row r="1" ht="47" customHeight="1" spans="1:6">
      <c r="A1" s="1" t="s">
        <v>478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 t="s">
        <v>462</v>
      </c>
      <c r="C3" s="2" t="s">
        <v>463</v>
      </c>
      <c r="D3" s="2"/>
      <c r="E3" s="2">
        <v>532</v>
      </c>
      <c r="F3" s="3" t="s">
        <v>464</v>
      </c>
    </row>
    <row r="4" ht="20" customHeight="1" spans="1:6">
      <c r="A4" s="2">
        <v>2</v>
      </c>
      <c r="B4" s="2" t="s">
        <v>465</v>
      </c>
      <c r="C4" s="2" t="s">
        <v>466</v>
      </c>
      <c r="D4" s="2"/>
      <c r="E4" s="2">
        <v>544</v>
      </c>
      <c r="F4" s="4"/>
    </row>
    <row r="5" ht="20" customHeight="1" spans="1:6">
      <c r="A5" s="2">
        <v>3</v>
      </c>
      <c r="B5" s="2" t="s">
        <v>467</v>
      </c>
      <c r="C5" s="2" t="s">
        <v>468</v>
      </c>
      <c r="D5" s="2"/>
      <c r="E5" s="2">
        <v>184</v>
      </c>
      <c r="F5" s="4"/>
    </row>
    <row r="6" ht="20" customHeight="1" spans="1:6">
      <c r="A6" s="2">
        <v>4</v>
      </c>
      <c r="B6" s="2" t="s">
        <v>470</v>
      </c>
      <c r="C6" s="2" t="s">
        <v>471</v>
      </c>
      <c r="D6" s="2"/>
      <c r="E6" s="2">
        <v>92</v>
      </c>
      <c r="F6" s="4"/>
    </row>
    <row r="7" ht="20" customHeight="1" spans="1:6">
      <c r="A7" s="2">
        <v>5</v>
      </c>
      <c r="B7" s="2" t="s">
        <v>470</v>
      </c>
      <c r="C7" s="2" t="s">
        <v>472</v>
      </c>
      <c r="D7" s="2"/>
      <c r="E7" s="2">
        <v>95</v>
      </c>
      <c r="F7" s="4"/>
    </row>
    <row r="8" ht="20" customHeight="1" spans="1:6">
      <c r="A8" s="2">
        <v>6</v>
      </c>
      <c r="B8" s="2" t="s">
        <v>470</v>
      </c>
      <c r="C8" s="2" t="s">
        <v>473</v>
      </c>
      <c r="D8" s="2"/>
      <c r="E8" s="2">
        <v>53</v>
      </c>
      <c r="F8" s="4"/>
    </row>
    <row r="9" ht="20" customHeight="1" spans="1:6">
      <c r="A9" s="2">
        <v>7</v>
      </c>
      <c r="B9" s="2" t="s">
        <v>470</v>
      </c>
      <c r="C9" s="2" t="s">
        <v>474</v>
      </c>
      <c r="D9" s="2"/>
      <c r="E9" s="2">
        <v>50</v>
      </c>
      <c r="F9" s="4"/>
    </row>
    <row r="10" ht="20" customHeight="1" spans="1:6">
      <c r="A10" s="2" t="s">
        <v>265</v>
      </c>
      <c r="B10" s="2"/>
      <c r="C10" s="2"/>
      <c r="D10" s="2"/>
      <c r="E10" s="2">
        <f>SUM(E3:E9)</f>
        <v>1550</v>
      </c>
      <c r="F10" s="5"/>
    </row>
  </sheetData>
  <mergeCells count="2">
    <mergeCell ref="A1:F1"/>
    <mergeCell ref="F3:F9"/>
  </mergeCells>
  <pageMargins left="0.75" right="0.75" top="1" bottom="1" header="0.5" footer="0.5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C3" sqref="C3:C4"/>
    </sheetView>
  </sheetViews>
  <sheetFormatPr defaultColWidth="9" defaultRowHeight="13.5" outlineLevelRow="4" outlineLevelCol="5"/>
  <cols>
    <col min="3" max="3" width="17" customWidth="1"/>
    <col min="6" max="6" width="20.75" customWidth="1"/>
  </cols>
  <sheetData>
    <row r="1" ht="47" customHeight="1" spans="1:6">
      <c r="A1" s="1" t="s">
        <v>479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 t="s">
        <v>467</v>
      </c>
      <c r="C3" s="2" t="s">
        <v>469</v>
      </c>
      <c r="D3" s="2"/>
      <c r="E3" s="2">
        <v>408</v>
      </c>
      <c r="F3" s="4" t="s">
        <v>464</v>
      </c>
    </row>
    <row r="4" ht="20" customHeight="1" spans="1:6">
      <c r="A4" s="2">
        <v>2</v>
      </c>
      <c r="B4" s="2"/>
      <c r="C4" s="2" t="s">
        <v>480</v>
      </c>
      <c r="D4" s="2"/>
      <c r="E4" s="2">
        <v>235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643</v>
      </c>
      <c r="F5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F3" sqref="F3:F4"/>
    </sheetView>
  </sheetViews>
  <sheetFormatPr defaultColWidth="9" defaultRowHeight="13.5" outlineLevelRow="4" outlineLevelCol="5"/>
  <cols>
    <col min="3" max="3" width="17" customWidth="1"/>
    <col min="6" max="6" width="20.75" customWidth="1"/>
  </cols>
  <sheetData>
    <row r="1" ht="47" customHeight="1" spans="1:6">
      <c r="A1" s="1" t="s">
        <v>481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 t="s">
        <v>467</v>
      </c>
      <c r="C3" s="2" t="s">
        <v>482</v>
      </c>
      <c r="D3" s="2"/>
      <c r="E3" s="2">
        <v>171</v>
      </c>
      <c r="F3" s="4" t="s">
        <v>464</v>
      </c>
    </row>
    <row r="4" ht="20" customHeight="1" spans="1:6">
      <c r="A4" s="2">
        <v>2</v>
      </c>
      <c r="B4" s="2"/>
      <c r="C4" s="2" t="s">
        <v>483</v>
      </c>
      <c r="D4" s="2"/>
      <c r="E4" s="2">
        <v>171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342</v>
      </c>
      <c r="F5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F3" sqref="F3:F4"/>
    </sheetView>
  </sheetViews>
  <sheetFormatPr defaultColWidth="9" defaultRowHeight="13.5" outlineLevelRow="4" outlineLevelCol="5"/>
  <cols>
    <col min="3" max="3" width="17" customWidth="1"/>
    <col min="6" max="6" width="20.75" customWidth="1"/>
  </cols>
  <sheetData>
    <row r="1" ht="47" customHeight="1" spans="1:6">
      <c r="A1" s="1" t="s">
        <v>484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 t="s">
        <v>462</v>
      </c>
      <c r="C3" s="2" t="s">
        <v>463</v>
      </c>
      <c r="D3" s="2"/>
      <c r="E3" s="2">
        <v>1688</v>
      </c>
      <c r="F3" s="4" t="s">
        <v>464</v>
      </c>
    </row>
    <row r="4" ht="20" customHeight="1" spans="1:6">
      <c r="A4" s="2">
        <v>2</v>
      </c>
      <c r="B4" s="2" t="s">
        <v>465</v>
      </c>
      <c r="C4" s="2" t="s">
        <v>466</v>
      </c>
      <c r="D4" s="2"/>
      <c r="E4" s="2">
        <v>1688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3376</v>
      </c>
      <c r="F5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E5" sqref="E5"/>
    </sheetView>
  </sheetViews>
  <sheetFormatPr defaultColWidth="9" defaultRowHeight="13.5" outlineLevelRow="4" outlineLevelCol="5"/>
  <cols>
    <col min="3" max="3" width="17" customWidth="1"/>
    <col min="6" max="6" width="20.75" customWidth="1"/>
  </cols>
  <sheetData>
    <row r="1" ht="47" customHeight="1" spans="1:6">
      <c r="A1" s="1" t="s">
        <v>485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 t="s">
        <v>470</v>
      </c>
      <c r="C3" s="2" t="s">
        <v>471</v>
      </c>
      <c r="D3" s="2"/>
      <c r="E3" s="2">
        <v>84</v>
      </c>
      <c r="F3" s="4" t="s">
        <v>464</v>
      </c>
    </row>
    <row r="4" ht="20" customHeight="1" spans="1:6">
      <c r="A4" s="2">
        <v>2</v>
      </c>
      <c r="B4" s="2" t="s">
        <v>470</v>
      </c>
      <c r="C4" s="2" t="s">
        <v>472</v>
      </c>
      <c r="D4" s="2"/>
      <c r="E4" s="2">
        <v>115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199</v>
      </c>
      <c r="F5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E5" sqref="E5"/>
    </sheetView>
  </sheetViews>
  <sheetFormatPr defaultColWidth="9" defaultRowHeight="13.5" outlineLevelRow="4" outlineLevelCol="5"/>
  <cols>
    <col min="3" max="3" width="17" customWidth="1"/>
    <col min="6" max="6" width="20.75" customWidth="1"/>
  </cols>
  <sheetData>
    <row r="1" ht="47" customHeight="1" spans="1:6">
      <c r="A1" s="1" t="s">
        <v>486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/>
      <c r="C3" s="2" t="s">
        <v>469</v>
      </c>
      <c r="D3" s="2"/>
      <c r="E3" s="2">
        <v>71</v>
      </c>
      <c r="F3" s="4" t="s">
        <v>464</v>
      </c>
    </row>
    <row r="4" ht="20" customHeight="1" spans="1:6">
      <c r="A4" s="2">
        <v>2</v>
      </c>
      <c r="B4" s="2"/>
      <c r="C4" s="2" t="s">
        <v>480</v>
      </c>
      <c r="D4" s="2"/>
      <c r="E4" s="2">
        <v>67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138</v>
      </c>
      <c r="F5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E5" sqref="E5"/>
    </sheetView>
  </sheetViews>
  <sheetFormatPr defaultColWidth="9" defaultRowHeight="13.5" outlineLevelRow="4" outlineLevelCol="5"/>
  <cols>
    <col min="3" max="3" width="17" customWidth="1"/>
    <col min="6" max="6" width="20.75" customWidth="1"/>
  </cols>
  <sheetData>
    <row r="1" ht="47" customHeight="1" spans="1:6">
      <c r="A1" s="1" t="s">
        <v>487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/>
      <c r="C3" s="2" t="s">
        <v>469</v>
      </c>
      <c r="D3" s="2"/>
      <c r="E3" s="2">
        <v>24</v>
      </c>
      <c r="F3" s="4" t="s">
        <v>464</v>
      </c>
    </row>
    <row r="4" ht="20" customHeight="1" spans="1:6">
      <c r="A4" s="2">
        <v>2</v>
      </c>
      <c r="B4" s="2"/>
      <c r="C4" s="2" t="s">
        <v>480</v>
      </c>
      <c r="D4" s="2"/>
      <c r="E4" s="2">
        <v>20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44</v>
      </c>
      <c r="F5" s="5"/>
    </row>
  </sheetData>
  <mergeCells count="2">
    <mergeCell ref="A1:F1"/>
    <mergeCell ref="F3:F4"/>
  </mergeCells>
  <pageMargins left="0.75" right="0.75" top="1" bottom="1" header="0.5" footer="0.5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workbookViewId="0">
      <selection activeCell="E4" sqref="E4"/>
    </sheetView>
  </sheetViews>
  <sheetFormatPr defaultColWidth="9" defaultRowHeight="13.5" outlineLevelRow="3" outlineLevelCol="5"/>
  <cols>
    <col min="3" max="3" width="17" customWidth="1"/>
    <col min="6" max="6" width="20.75" customWidth="1"/>
  </cols>
  <sheetData>
    <row r="1" ht="47" customHeight="1" spans="1:6">
      <c r="A1" s="1" t="s">
        <v>488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461</v>
      </c>
      <c r="F2" s="2" t="s">
        <v>255</v>
      </c>
    </row>
    <row r="3" ht="20" customHeight="1" spans="1:6">
      <c r="A3" s="2">
        <v>1</v>
      </c>
      <c r="B3" s="2"/>
      <c r="C3" s="2" t="s">
        <v>476</v>
      </c>
      <c r="D3" s="2"/>
      <c r="E3" s="2">
        <v>10</v>
      </c>
      <c r="F3" s="4" t="s">
        <v>464</v>
      </c>
    </row>
    <row r="4" ht="20" customHeight="1" spans="1:6">
      <c r="A4" s="2" t="s">
        <v>265</v>
      </c>
      <c r="B4" s="2"/>
      <c r="C4" s="2"/>
      <c r="D4" s="2"/>
      <c r="E4" s="2">
        <f>SUM(E3:E3)</f>
        <v>10</v>
      </c>
      <c r="F4" s="5"/>
    </row>
  </sheetData>
  <mergeCells count="1">
    <mergeCell ref="A1:F1"/>
  </mergeCells>
  <pageMargins left="0.75" right="0.75" top="1" bottom="1" header="0.5" footer="0.5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9"/>
  <sheetViews>
    <sheetView workbookViewId="0">
      <selection activeCell="D5" sqref="D5:D8"/>
    </sheetView>
  </sheetViews>
  <sheetFormatPr defaultColWidth="9" defaultRowHeight="13.5" outlineLevelCol="5"/>
  <cols>
    <col min="3" max="3" width="17" customWidth="1"/>
    <col min="6" max="6" width="20.75" customWidth="1"/>
  </cols>
  <sheetData>
    <row r="1" ht="47" customHeight="1" spans="1:6">
      <c r="A1" s="1" t="s">
        <v>489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490</v>
      </c>
      <c r="C3" s="2" t="s">
        <v>491</v>
      </c>
      <c r="D3" s="2" t="s">
        <v>268</v>
      </c>
      <c r="E3" s="2">
        <v>4</v>
      </c>
      <c r="F3" s="4" t="s">
        <v>492</v>
      </c>
    </row>
    <row r="4" ht="20" customHeight="1" spans="1:6">
      <c r="A4" s="2">
        <v>2</v>
      </c>
      <c r="B4" s="2" t="s">
        <v>493</v>
      </c>
      <c r="C4" s="2" t="s">
        <v>494</v>
      </c>
      <c r="D4" s="2" t="s">
        <v>262</v>
      </c>
      <c r="E4" s="2">
        <v>8</v>
      </c>
      <c r="F4" s="4"/>
    </row>
    <row r="5" ht="20" customHeight="1" spans="1:6">
      <c r="A5" s="2">
        <v>3</v>
      </c>
      <c r="B5" s="2" t="s">
        <v>495</v>
      </c>
      <c r="C5" s="2" t="s">
        <v>496</v>
      </c>
      <c r="D5" s="2" t="s">
        <v>459</v>
      </c>
      <c r="E5" s="2">
        <v>23</v>
      </c>
      <c r="F5" s="4"/>
    </row>
    <row r="6" ht="20" customHeight="1" spans="1:6">
      <c r="A6" s="2">
        <v>4</v>
      </c>
      <c r="B6" s="2" t="s">
        <v>495</v>
      </c>
      <c r="C6" s="2" t="s">
        <v>497</v>
      </c>
      <c r="D6" s="2" t="s">
        <v>459</v>
      </c>
      <c r="E6" s="2">
        <v>24</v>
      </c>
      <c r="F6" s="4"/>
    </row>
    <row r="7" ht="20" customHeight="1" spans="1:6">
      <c r="A7" s="2">
        <v>5</v>
      </c>
      <c r="B7" s="2" t="s">
        <v>495</v>
      </c>
      <c r="C7" s="2" t="s">
        <v>498</v>
      </c>
      <c r="D7" s="2" t="s">
        <v>459</v>
      </c>
      <c r="E7" s="2">
        <v>6</v>
      </c>
      <c r="F7" s="4"/>
    </row>
    <row r="8" ht="20" customHeight="1" spans="1:6">
      <c r="A8" s="2">
        <v>6</v>
      </c>
      <c r="B8" s="2" t="s">
        <v>495</v>
      </c>
      <c r="C8" s="2" t="s">
        <v>499</v>
      </c>
      <c r="D8" s="2" t="s">
        <v>459</v>
      </c>
      <c r="E8" s="2">
        <v>5</v>
      </c>
      <c r="F8" s="4"/>
    </row>
    <row r="9" ht="20" customHeight="1" spans="1:6">
      <c r="A9" s="2" t="s">
        <v>265</v>
      </c>
      <c r="B9" s="2"/>
      <c r="C9" s="2"/>
      <c r="D9" s="2"/>
      <c r="E9" s="2">
        <f>SUM(E3:E8)</f>
        <v>70</v>
      </c>
      <c r="F9" s="7"/>
    </row>
  </sheetData>
  <mergeCells count="2">
    <mergeCell ref="A1:F1"/>
    <mergeCell ref="F3:F9"/>
  </mergeCells>
  <pageMargins left="0.75" right="0.75" top="1" bottom="1" header="0.5" footer="0.5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4"/>
  <sheetViews>
    <sheetView workbookViewId="0">
      <selection activeCell="A3" sqref="A3:A13"/>
    </sheetView>
  </sheetViews>
  <sheetFormatPr defaultColWidth="9" defaultRowHeight="13.5" outlineLevelCol="5"/>
  <cols>
    <col min="3" max="3" width="17" customWidth="1"/>
    <col min="6" max="6" width="20.75" customWidth="1"/>
  </cols>
  <sheetData>
    <row r="1" ht="47" customHeight="1" spans="1:6">
      <c r="A1" s="1" t="s">
        <v>500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490</v>
      </c>
      <c r="C3" s="2" t="s">
        <v>491</v>
      </c>
      <c r="D3" s="2" t="s">
        <v>268</v>
      </c>
      <c r="E3" s="2">
        <v>20</v>
      </c>
      <c r="F3" s="4" t="s">
        <v>492</v>
      </c>
    </row>
    <row r="4" ht="20" customHeight="1" spans="1:6">
      <c r="A4" s="2">
        <v>2</v>
      </c>
      <c r="B4" s="2" t="s">
        <v>490</v>
      </c>
      <c r="C4" s="2" t="s">
        <v>491</v>
      </c>
      <c r="D4" s="2" t="s">
        <v>262</v>
      </c>
      <c r="E4" s="2">
        <v>28</v>
      </c>
      <c r="F4" s="4"/>
    </row>
    <row r="5" ht="20" customHeight="1" spans="1:6">
      <c r="A5" s="2">
        <v>3</v>
      </c>
      <c r="B5" s="2" t="s">
        <v>493</v>
      </c>
      <c r="C5" s="2" t="s">
        <v>494</v>
      </c>
      <c r="D5" s="2" t="s">
        <v>268</v>
      </c>
      <c r="E5" s="2">
        <v>28</v>
      </c>
      <c r="F5" s="4"/>
    </row>
    <row r="6" ht="20" customHeight="1" spans="1:6">
      <c r="A6" s="2">
        <v>4</v>
      </c>
      <c r="B6" s="2" t="s">
        <v>493</v>
      </c>
      <c r="C6" s="2" t="s">
        <v>494</v>
      </c>
      <c r="D6" s="2" t="s">
        <v>262</v>
      </c>
      <c r="E6" s="2">
        <v>21</v>
      </c>
      <c r="F6" s="4"/>
    </row>
    <row r="7" ht="20" customHeight="1" spans="1:6">
      <c r="A7" s="2">
        <v>5</v>
      </c>
      <c r="B7" s="2" t="s">
        <v>304</v>
      </c>
      <c r="C7" s="2" t="s">
        <v>305</v>
      </c>
      <c r="D7" s="2" t="s">
        <v>268</v>
      </c>
      <c r="E7" s="2">
        <v>8</v>
      </c>
      <c r="F7" s="4"/>
    </row>
    <row r="8" ht="20" customHeight="1" spans="1:6">
      <c r="A8" s="2">
        <v>6</v>
      </c>
      <c r="B8" s="2" t="s">
        <v>304</v>
      </c>
      <c r="C8" s="2" t="s">
        <v>501</v>
      </c>
      <c r="D8" s="2" t="s">
        <v>310</v>
      </c>
      <c r="E8" s="2">
        <v>29</v>
      </c>
      <c r="F8" s="4"/>
    </row>
    <row r="9" ht="20" customHeight="1" spans="1:6">
      <c r="A9" s="2">
        <v>7</v>
      </c>
      <c r="B9" s="2" t="s">
        <v>304</v>
      </c>
      <c r="C9" s="2" t="s">
        <v>502</v>
      </c>
      <c r="D9" s="2" t="s">
        <v>262</v>
      </c>
      <c r="E9" s="2">
        <v>8</v>
      </c>
      <c r="F9" s="4"/>
    </row>
    <row r="10" ht="20" customHeight="1" spans="1:6">
      <c r="A10" s="2">
        <v>8</v>
      </c>
      <c r="B10" s="2" t="s">
        <v>495</v>
      </c>
      <c r="C10" s="2" t="s">
        <v>496</v>
      </c>
      <c r="D10" s="2" t="s">
        <v>459</v>
      </c>
      <c r="E10" s="2">
        <v>47</v>
      </c>
      <c r="F10" s="4"/>
    </row>
    <row r="11" ht="20" customHeight="1" spans="1:6">
      <c r="A11" s="2">
        <v>9</v>
      </c>
      <c r="B11" s="2" t="s">
        <v>495</v>
      </c>
      <c r="C11" s="2" t="s">
        <v>497</v>
      </c>
      <c r="D11" s="2" t="s">
        <v>459</v>
      </c>
      <c r="E11" s="2">
        <v>52</v>
      </c>
      <c r="F11" s="4"/>
    </row>
    <row r="12" ht="20" customHeight="1" spans="1:6">
      <c r="A12" s="2">
        <v>10</v>
      </c>
      <c r="B12" s="2" t="s">
        <v>495</v>
      </c>
      <c r="C12" s="2" t="s">
        <v>498</v>
      </c>
      <c r="D12" s="2" t="s">
        <v>459</v>
      </c>
      <c r="E12" s="2">
        <v>63</v>
      </c>
      <c r="F12" s="4"/>
    </row>
    <row r="13" ht="20" customHeight="1" spans="1:6">
      <c r="A13" s="2">
        <v>11</v>
      </c>
      <c r="B13" s="2" t="s">
        <v>495</v>
      </c>
      <c r="C13" s="2" t="s">
        <v>499</v>
      </c>
      <c r="D13" s="2" t="s">
        <v>459</v>
      </c>
      <c r="E13" s="2">
        <v>59</v>
      </c>
      <c r="F13" s="4"/>
    </row>
    <row r="14" ht="20" customHeight="1" spans="1:6">
      <c r="A14" s="2" t="s">
        <v>265</v>
      </c>
      <c r="B14" s="2"/>
      <c r="C14" s="2"/>
      <c r="D14" s="2"/>
      <c r="E14" s="2">
        <f>SUM(E3:E13)</f>
        <v>363</v>
      </c>
      <c r="F14" s="7"/>
    </row>
  </sheetData>
  <mergeCells count="2">
    <mergeCell ref="A1:F1"/>
    <mergeCell ref="F3:F14"/>
  </mergeCells>
  <pageMargins left="0.75" right="0.75" top="1" bottom="1" header="0.5" footer="0.5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2"/>
  <sheetViews>
    <sheetView workbookViewId="0">
      <selection activeCell="B3" sqref="B3:D3"/>
    </sheetView>
  </sheetViews>
  <sheetFormatPr defaultColWidth="9" defaultRowHeight="13.5" outlineLevelCol="5"/>
  <cols>
    <col min="3" max="3" width="17" customWidth="1"/>
    <col min="6" max="6" width="20.75" customWidth="1"/>
  </cols>
  <sheetData>
    <row r="1" ht="47" customHeight="1" spans="1:6">
      <c r="A1" s="1" t="s">
        <v>503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490</v>
      </c>
      <c r="C3" s="2" t="s">
        <v>491</v>
      </c>
      <c r="D3" s="2" t="s">
        <v>268</v>
      </c>
      <c r="E3" s="2">
        <v>8</v>
      </c>
      <c r="F3" s="4" t="s">
        <v>492</v>
      </c>
    </row>
    <row r="4" ht="20" customHeight="1" spans="1:6">
      <c r="A4" s="2">
        <v>2</v>
      </c>
      <c r="B4" s="2" t="s">
        <v>490</v>
      </c>
      <c r="C4" s="2" t="s">
        <v>491</v>
      </c>
      <c r="D4" s="2" t="s">
        <v>262</v>
      </c>
      <c r="E4" s="2">
        <v>8</v>
      </c>
      <c r="F4" s="4"/>
    </row>
    <row r="5" ht="20" customHeight="1" spans="1:6">
      <c r="A5" s="2">
        <v>3</v>
      </c>
      <c r="B5" s="2" t="s">
        <v>493</v>
      </c>
      <c r="C5" s="2" t="s">
        <v>494</v>
      </c>
      <c r="D5" s="2" t="s">
        <v>268</v>
      </c>
      <c r="E5" s="2">
        <v>8</v>
      </c>
      <c r="F5" s="4"/>
    </row>
    <row r="6" ht="20" customHeight="1" spans="1:6">
      <c r="A6" s="2">
        <v>4</v>
      </c>
      <c r="B6" s="2" t="s">
        <v>493</v>
      </c>
      <c r="C6" s="2" t="s">
        <v>494</v>
      </c>
      <c r="D6" s="2" t="s">
        <v>262</v>
      </c>
      <c r="E6" s="2">
        <v>8</v>
      </c>
      <c r="F6" s="4"/>
    </row>
    <row r="7" ht="20" customHeight="1" spans="1:6">
      <c r="A7" s="2">
        <v>5</v>
      </c>
      <c r="B7" s="2" t="s">
        <v>304</v>
      </c>
      <c r="C7" s="2" t="s">
        <v>305</v>
      </c>
      <c r="D7" s="2" t="s">
        <v>268</v>
      </c>
      <c r="E7" s="2">
        <v>10</v>
      </c>
      <c r="F7" s="4"/>
    </row>
    <row r="8" ht="20" customHeight="1" spans="1:6">
      <c r="A8" s="2">
        <v>6</v>
      </c>
      <c r="B8" s="2" t="s">
        <v>304</v>
      </c>
      <c r="C8" s="2" t="s">
        <v>501</v>
      </c>
      <c r="D8" s="2" t="s">
        <v>310</v>
      </c>
      <c r="E8" s="2">
        <v>20</v>
      </c>
      <c r="F8" s="4"/>
    </row>
    <row r="9" ht="20" customHeight="1" spans="1:6">
      <c r="A9" s="2">
        <v>7</v>
      </c>
      <c r="B9" s="2" t="s">
        <v>304</v>
      </c>
      <c r="C9" s="2" t="s">
        <v>502</v>
      </c>
      <c r="D9" s="2" t="s">
        <v>262</v>
      </c>
      <c r="E9" s="2">
        <v>10</v>
      </c>
      <c r="F9" s="4"/>
    </row>
    <row r="10" ht="20" customHeight="1" spans="1:6">
      <c r="A10" s="2">
        <v>8</v>
      </c>
      <c r="B10" s="2" t="s">
        <v>495</v>
      </c>
      <c r="C10" s="2" t="s">
        <v>496</v>
      </c>
      <c r="D10" s="2" t="s">
        <v>459</v>
      </c>
      <c r="E10" s="2">
        <v>5</v>
      </c>
      <c r="F10" s="4"/>
    </row>
    <row r="11" ht="20" customHeight="1" spans="1:6">
      <c r="A11" s="2">
        <v>9</v>
      </c>
      <c r="B11" s="2" t="s">
        <v>495</v>
      </c>
      <c r="C11" s="2" t="s">
        <v>497</v>
      </c>
      <c r="D11" s="2" t="s">
        <v>459</v>
      </c>
      <c r="E11" s="2">
        <v>5</v>
      </c>
      <c r="F11" s="4"/>
    </row>
    <row r="12" ht="20" customHeight="1" spans="1:6">
      <c r="A12" s="2" t="s">
        <v>265</v>
      </c>
      <c r="B12" s="2"/>
      <c r="C12" s="2"/>
      <c r="D12" s="2"/>
      <c r="E12" s="2">
        <f>SUM(E3:E11)</f>
        <v>82</v>
      </c>
      <c r="F12" s="7"/>
    </row>
  </sheetData>
  <mergeCells count="2">
    <mergeCell ref="A1:F1"/>
    <mergeCell ref="F3:F12"/>
  </mergeCells>
  <pageMargins left="0.75" right="0.75" top="1" bottom="1" header="0.5" footer="0.5"/>
  <headerFooter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A3" sqref="A3:A4"/>
    </sheetView>
  </sheetViews>
  <sheetFormatPr defaultColWidth="9" defaultRowHeight="13.5" outlineLevelRow="4" outlineLevelCol="5"/>
  <cols>
    <col min="3" max="3" width="17" customWidth="1"/>
    <col min="6" max="6" width="20.75" customWidth="1"/>
  </cols>
  <sheetData>
    <row r="1" ht="47" customHeight="1" spans="1:6">
      <c r="A1" s="1" t="s">
        <v>504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490</v>
      </c>
      <c r="C3" s="2" t="s">
        <v>505</v>
      </c>
      <c r="D3" s="2" t="s">
        <v>459</v>
      </c>
      <c r="E3" s="2">
        <v>128</v>
      </c>
      <c r="F3" s="4" t="s">
        <v>492</v>
      </c>
    </row>
    <row r="4" ht="20" customHeight="1" spans="1:6">
      <c r="A4" s="2">
        <v>2</v>
      </c>
      <c r="B4" s="2" t="s">
        <v>493</v>
      </c>
      <c r="C4" s="2" t="s">
        <v>506</v>
      </c>
      <c r="D4" s="2" t="s">
        <v>459</v>
      </c>
      <c r="E4" s="2">
        <v>128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256</v>
      </c>
      <c r="F5" s="7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9"/>
  <sheetViews>
    <sheetView workbookViewId="0">
      <selection activeCell="E10" sqref="E10"/>
    </sheetView>
  </sheetViews>
  <sheetFormatPr defaultColWidth="9" defaultRowHeight="13.5" outlineLevelCol="5"/>
  <cols>
    <col min="3" max="3" width="17" customWidth="1"/>
    <col min="6" max="6" width="20.75" customWidth="1"/>
  </cols>
  <sheetData>
    <row r="1" ht="47" customHeight="1" spans="1:6">
      <c r="A1" s="1" t="s">
        <v>507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490</v>
      </c>
      <c r="C3" s="2" t="s">
        <v>508</v>
      </c>
      <c r="D3" s="2" t="s">
        <v>459</v>
      </c>
      <c r="E3" s="2">
        <v>60</v>
      </c>
      <c r="F3" s="4" t="s">
        <v>492</v>
      </c>
    </row>
    <row r="4" ht="20" customHeight="1" spans="1:6">
      <c r="A4" s="2">
        <v>2</v>
      </c>
      <c r="B4" s="2" t="s">
        <v>490</v>
      </c>
      <c r="C4" s="2" t="s">
        <v>491</v>
      </c>
      <c r="D4" s="2" t="s">
        <v>268</v>
      </c>
      <c r="E4" s="2">
        <v>13</v>
      </c>
      <c r="F4" s="4"/>
    </row>
    <row r="5" ht="20" customHeight="1" spans="1:6">
      <c r="A5" s="2">
        <v>3</v>
      </c>
      <c r="B5" s="2" t="s">
        <v>490</v>
      </c>
      <c r="C5" s="2" t="s">
        <v>491</v>
      </c>
      <c r="D5" s="2" t="s">
        <v>262</v>
      </c>
      <c r="E5" s="2">
        <v>13</v>
      </c>
      <c r="F5" s="4"/>
    </row>
    <row r="6" ht="20" customHeight="1" spans="1:6">
      <c r="A6" s="2">
        <v>4</v>
      </c>
      <c r="B6" s="2" t="s">
        <v>493</v>
      </c>
      <c r="C6" s="2" t="s">
        <v>509</v>
      </c>
      <c r="D6" s="2" t="s">
        <v>459</v>
      </c>
      <c r="E6" s="2">
        <v>67</v>
      </c>
      <c r="F6" s="4"/>
    </row>
    <row r="7" ht="20" customHeight="1" spans="1:6">
      <c r="A7" s="2">
        <v>5</v>
      </c>
      <c r="B7" s="2" t="s">
        <v>493</v>
      </c>
      <c r="C7" s="2" t="s">
        <v>494</v>
      </c>
      <c r="D7" s="2" t="s">
        <v>268</v>
      </c>
      <c r="E7" s="2">
        <v>13</v>
      </c>
      <c r="F7" s="4"/>
    </row>
    <row r="8" ht="20" customHeight="1" spans="1:6">
      <c r="A8" s="2">
        <v>6</v>
      </c>
      <c r="B8" s="2" t="s">
        <v>493</v>
      </c>
      <c r="C8" s="2" t="s">
        <v>494</v>
      </c>
      <c r="D8" s="2" t="s">
        <v>262</v>
      </c>
      <c r="E8" s="2">
        <v>13</v>
      </c>
      <c r="F8" s="4"/>
    </row>
    <row r="9" ht="20" customHeight="1" spans="1:6">
      <c r="A9" s="2" t="s">
        <v>265</v>
      </c>
      <c r="B9" s="2"/>
      <c r="C9" s="2"/>
      <c r="D9" s="2"/>
      <c r="E9" s="2">
        <f>SUM(E3:E8)</f>
        <v>179</v>
      </c>
      <c r="F9" s="7"/>
    </row>
  </sheetData>
  <mergeCells count="2">
    <mergeCell ref="A1:F1"/>
    <mergeCell ref="F3:F9"/>
  </mergeCells>
  <pageMargins left="0.75" right="0.75" top="1" bottom="1" header="0.5" footer="0.5"/>
  <headerFooter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topLeftCell="A2" workbookViewId="0">
      <selection activeCell="F3" sqref="F3:F5"/>
    </sheetView>
  </sheetViews>
  <sheetFormatPr defaultColWidth="9" defaultRowHeight="13.5" outlineLevelRow="4" outlineLevelCol="5"/>
  <cols>
    <col min="3" max="3" width="17" customWidth="1"/>
    <col min="4" max="4" width="21.625" customWidth="1"/>
    <col min="6" max="6" width="20.75" customWidth="1"/>
  </cols>
  <sheetData>
    <row r="1" ht="47" customHeight="1" spans="1:6">
      <c r="A1" s="1" t="s">
        <v>510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41" customHeight="1" spans="1:6">
      <c r="A3" s="2">
        <v>1</v>
      </c>
      <c r="B3" s="2" t="s">
        <v>490</v>
      </c>
      <c r="C3" s="2" t="s">
        <v>511</v>
      </c>
      <c r="D3" s="6" t="s">
        <v>512</v>
      </c>
      <c r="E3" s="2">
        <v>620</v>
      </c>
      <c r="F3" s="4" t="s">
        <v>513</v>
      </c>
    </row>
    <row r="4" ht="47" customHeight="1" spans="1:6">
      <c r="A4" s="2">
        <v>2</v>
      </c>
      <c r="B4" s="2" t="s">
        <v>493</v>
      </c>
      <c r="C4" s="2" t="s">
        <v>514</v>
      </c>
      <c r="D4" s="6" t="s">
        <v>515</v>
      </c>
      <c r="E4" s="2">
        <v>640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1260</v>
      </c>
      <c r="F5" s="7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7"/>
  <sheetViews>
    <sheetView topLeftCell="A2" workbookViewId="0">
      <selection activeCell="A3" sqref="A3:E4"/>
    </sheetView>
  </sheetViews>
  <sheetFormatPr defaultColWidth="9" defaultRowHeight="13.5" outlineLevelRow="6" outlineLevelCol="5"/>
  <cols>
    <col min="3" max="3" width="19.5" customWidth="1"/>
    <col min="4" max="4" width="5.5" customWidth="1"/>
    <col min="6" max="6" width="20.75" customWidth="1"/>
  </cols>
  <sheetData>
    <row r="1" ht="47" customHeight="1" spans="1:6">
      <c r="A1" s="1" t="s">
        <v>516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517</v>
      </c>
      <c r="C3" s="2" t="s">
        <v>518</v>
      </c>
      <c r="D3" s="6" t="s">
        <v>268</v>
      </c>
      <c r="E3" s="2">
        <v>4</v>
      </c>
      <c r="F3" s="4" t="s">
        <v>317</v>
      </c>
    </row>
    <row r="4" ht="20" customHeight="1" spans="1:6">
      <c r="A4" s="2">
        <v>2</v>
      </c>
      <c r="B4" s="2" t="s">
        <v>517</v>
      </c>
      <c r="C4" s="2" t="s">
        <v>519</v>
      </c>
      <c r="D4" s="6" t="s">
        <v>262</v>
      </c>
      <c r="E4" s="2">
        <v>4</v>
      </c>
      <c r="F4" s="4"/>
    </row>
    <row r="5" ht="20" customHeight="1" spans="1:6">
      <c r="A5" s="2">
        <v>3</v>
      </c>
      <c r="B5" s="2" t="s">
        <v>517</v>
      </c>
      <c r="C5" s="2" t="s">
        <v>520</v>
      </c>
      <c r="D5" s="6"/>
      <c r="E5" s="2">
        <v>14</v>
      </c>
      <c r="F5" s="4"/>
    </row>
    <row r="6" ht="20" customHeight="1" spans="1:6">
      <c r="A6" s="2">
        <v>4</v>
      </c>
      <c r="B6" s="2" t="s">
        <v>517</v>
      </c>
      <c r="C6" s="2" t="s">
        <v>521</v>
      </c>
      <c r="D6" s="6"/>
      <c r="E6" s="2">
        <v>6</v>
      </c>
      <c r="F6" s="4"/>
    </row>
    <row r="7" ht="20" customHeight="1" spans="1:6">
      <c r="A7" s="2" t="s">
        <v>265</v>
      </c>
      <c r="B7" s="2"/>
      <c r="C7" s="2"/>
      <c r="D7" s="2"/>
      <c r="E7" s="2">
        <f>SUM(E3:E6)</f>
        <v>28</v>
      </c>
      <c r="F7" s="7"/>
    </row>
  </sheetData>
  <mergeCells count="2">
    <mergeCell ref="A1:F1"/>
    <mergeCell ref="F3:F7"/>
  </mergeCells>
  <pageMargins left="0.75" right="0.75" top="1" bottom="1" header="0.5" footer="0.5"/>
  <headerFooter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E9" sqref="E9"/>
    </sheetView>
  </sheetViews>
  <sheetFormatPr defaultColWidth="9" defaultRowHeight="13.5" outlineLevelRow="4" outlineLevelCol="5"/>
  <cols>
    <col min="3" max="3" width="19.5" customWidth="1"/>
    <col min="4" max="4" width="8.25" customWidth="1"/>
    <col min="6" max="6" width="20.75" customWidth="1"/>
  </cols>
  <sheetData>
    <row r="1" ht="47" customHeight="1" spans="1:6">
      <c r="A1" s="1" t="s">
        <v>522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523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524</v>
      </c>
      <c r="D3" s="6" t="s">
        <v>459</v>
      </c>
      <c r="E3" s="2">
        <v>4</v>
      </c>
      <c r="F3" s="4" t="s">
        <v>317</v>
      </c>
    </row>
    <row r="4" ht="20" customHeight="1" spans="1:6">
      <c r="A4" s="2">
        <v>2</v>
      </c>
      <c r="B4" s="2" t="s">
        <v>304</v>
      </c>
      <c r="C4" s="2" t="s">
        <v>525</v>
      </c>
      <c r="D4" s="6" t="s">
        <v>459</v>
      </c>
      <c r="E4" s="2">
        <v>8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12</v>
      </c>
      <c r="F5" s="7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E5" sqref="E5"/>
    </sheetView>
  </sheetViews>
  <sheetFormatPr defaultColWidth="9" defaultRowHeight="13.5" outlineLevelRow="4" outlineLevelCol="5"/>
  <cols>
    <col min="3" max="3" width="19.5" customWidth="1"/>
    <col min="4" max="4" width="8.25" customWidth="1"/>
    <col min="6" max="6" width="20.75" customWidth="1"/>
  </cols>
  <sheetData>
    <row r="1" ht="47" customHeight="1" spans="1:6">
      <c r="A1" s="1" t="s">
        <v>526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517</v>
      </c>
      <c r="C3" s="2" t="s">
        <v>518</v>
      </c>
      <c r="D3" s="6" t="s">
        <v>268</v>
      </c>
      <c r="E3" s="2">
        <v>15</v>
      </c>
      <c r="F3" s="4" t="s">
        <v>317</v>
      </c>
    </row>
    <row r="4" ht="20" customHeight="1" spans="1:6">
      <c r="A4" s="2">
        <v>2</v>
      </c>
      <c r="B4" s="2" t="s">
        <v>517</v>
      </c>
      <c r="C4" s="2" t="s">
        <v>519</v>
      </c>
      <c r="D4" s="6" t="s">
        <v>262</v>
      </c>
      <c r="E4" s="2">
        <v>15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30</v>
      </c>
      <c r="F5" s="7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C4" sqref="C4"/>
    </sheetView>
  </sheetViews>
  <sheetFormatPr defaultColWidth="9" defaultRowHeight="13.5" outlineLevelRow="4" outlineLevelCol="5"/>
  <cols>
    <col min="3" max="3" width="19.5" customWidth="1"/>
    <col min="4" max="4" width="8.25" customWidth="1"/>
    <col min="6" max="6" width="20.75" customWidth="1"/>
  </cols>
  <sheetData>
    <row r="1" ht="47" customHeight="1" spans="1:6">
      <c r="A1" s="1" t="s">
        <v>527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254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528</v>
      </c>
      <c r="D3" s="6" t="s">
        <v>310</v>
      </c>
      <c r="E3" s="2">
        <v>241</v>
      </c>
      <c r="F3" s="4" t="s">
        <v>317</v>
      </c>
    </row>
    <row r="4" ht="20" customHeight="1" spans="1:6">
      <c r="A4" s="2">
        <v>2</v>
      </c>
      <c r="B4" s="2" t="s">
        <v>304</v>
      </c>
      <c r="C4" s="2" t="s">
        <v>529</v>
      </c>
      <c r="D4" s="6" t="s">
        <v>310</v>
      </c>
      <c r="E4" s="2">
        <v>241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482</v>
      </c>
      <c r="F5" s="7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F3" sqref="F3:F5"/>
    </sheetView>
  </sheetViews>
  <sheetFormatPr defaultColWidth="9" defaultRowHeight="13.5" outlineLevelRow="4" outlineLevelCol="5"/>
  <cols>
    <col min="3" max="3" width="19.5" customWidth="1"/>
    <col min="4" max="4" width="8.25" customWidth="1"/>
    <col min="6" max="6" width="20.75" customWidth="1"/>
  </cols>
  <sheetData>
    <row r="1" ht="47" customHeight="1" spans="1:6">
      <c r="A1" s="1" t="s">
        <v>530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531</v>
      </c>
      <c r="F2" s="2" t="s">
        <v>255</v>
      </c>
    </row>
    <row r="3" ht="20" customHeight="1" spans="1:6">
      <c r="A3" s="2">
        <v>1</v>
      </c>
      <c r="B3" s="2" t="s">
        <v>304</v>
      </c>
      <c r="C3" s="2" t="s">
        <v>511</v>
      </c>
      <c r="D3" s="6" t="s">
        <v>532</v>
      </c>
      <c r="E3" s="2">
        <v>60</v>
      </c>
      <c r="F3" s="4" t="s">
        <v>513</v>
      </c>
    </row>
    <row r="4" ht="20" customHeight="1" spans="1:6">
      <c r="A4" s="2">
        <v>2</v>
      </c>
      <c r="B4" s="2" t="s">
        <v>304</v>
      </c>
      <c r="C4" s="2" t="s">
        <v>514</v>
      </c>
      <c r="D4" s="6" t="s">
        <v>532</v>
      </c>
      <c r="E4" s="2">
        <v>61</v>
      </c>
      <c r="F4" s="4"/>
    </row>
    <row r="5" ht="20" customHeight="1" spans="1:6">
      <c r="A5" s="2" t="s">
        <v>265</v>
      </c>
      <c r="B5" s="2"/>
      <c r="C5" s="2"/>
      <c r="D5" s="2"/>
      <c r="E5" s="2">
        <f>SUM(E3:E4)</f>
        <v>121</v>
      </c>
      <c r="F5" s="7"/>
    </row>
  </sheetData>
  <mergeCells count="2">
    <mergeCell ref="A1:F1"/>
    <mergeCell ref="F3:F5"/>
  </mergeCells>
  <pageMargins left="0.75" right="0.75" top="1" bottom="1" header="0.5" footer="0.5"/>
  <headerFooter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0"/>
  <sheetViews>
    <sheetView workbookViewId="0">
      <selection activeCell="E2" sqref="E2"/>
    </sheetView>
  </sheetViews>
  <sheetFormatPr defaultColWidth="9" defaultRowHeight="13.5" outlineLevelCol="5"/>
  <cols>
    <col min="6" max="6" width="17.875" customWidth="1"/>
  </cols>
  <sheetData>
    <row r="1" ht="47" customHeight="1" spans="1:6">
      <c r="A1" s="1" t="s">
        <v>533</v>
      </c>
      <c r="B1" s="1"/>
      <c r="C1" s="1"/>
      <c r="D1" s="1"/>
      <c r="E1" s="1"/>
      <c r="F1" s="1"/>
    </row>
    <row r="2" ht="20" customHeight="1" spans="1:6">
      <c r="A2" s="2" t="s">
        <v>250</v>
      </c>
      <c r="B2" s="2" t="s">
        <v>251</v>
      </c>
      <c r="C2" s="2" t="s">
        <v>252</v>
      </c>
      <c r="D2" s="2" t="s">
        <v>253</v>
      </c>
      <c r="E2" s="2" t="s">
        <v>315</v>
      </c>
      <c r="F2" s="2" t="s">
        <v>255</v>
      </c>
    </row>
    <row r="3" ht="20" customHeight="1" spans="1:6">
      <c r="A3" s="2">
        <v>1</v>
      </c>
      <c r="B3" s="2" t="s">
        <v>462</v>
      </c>
      <c r="C3" s="2" t="s">
        <v>463</v>
      </c>
      <c r="D3" s="2"/>
      <c r="E3" s="2">
        <v>532</v>
      </c>
      <c r="F3" s="3" t="s">
        <v>464</v>
      </c>
    </row>
    <row r="4" ht="20" customHeight="1" spans="1:6">
      <c r="A4" s="2">
        <v>2</v>
      </c>
      <c r="B4" s="2" t="s">
        <v>465</v>
      </c>
      <c r="C4" s="2" t="s">
        <v>466</v>
      </c>
      <c r="D4" s="2"/>
      <c r="E4" s="2">
        <v>544</v>
      </c>
      <c r="F4" s="4"/>
    </row>
    <row r="5" ht="20" customHeight="1" spans="1:6">
      <c r="A5" s="2">
        <v>3</v>
      </c>
      <c r="B5" s="2" t="s">
        <v>467</v>
      </c>
      <c r="C5" s="2" t="s">
        <v>468</v>
      </c>
      <c r="D5" s="2"/>
      <c r="E5" s="2">
        <v>184</v>
      </c>
      <c r="F5" s="4"/>
    </row>
    <row r="6" ht="20" customHeight="1" spans="1:6">
      <c r="A6" s="2">
        <v>4</v>
      </c>
      <c r="B6" s="2" t="s">
        <v>470</v>
      </c>
      <c r="C6" s="2" t="s">
        <v>471</v>
      </c>
      <c r="D6" s="2"/>
      <c r="E6" s="2">
        <v>92</v>
      </c>
      <c r="F6" s="4"/>
    </row>
    <row r="7" ht="20" customHeight="1" spans="1:6">
      <c r="A7" s="2">
        <v>5</v>
      </c>
      <c r="B7" s="2" t="s">
        <v>470</v>
      </c>
      <c r="C7" s="2" t="s">
        <v>472</v>
      </c>
      <c r="D7" s="2"/>
      <c r="E7" s="2">
        <v>95</v>
      </c>
      <c r="F7" s="4"/>
    </row>
    <row r="8" ht="20" customHeight="1" spans="1:6">
      <c r="A8" s="2">
        <v>6</v>
      </c>
      <c r="B8" s="2" t="s">
        <v>470</v>
      </c>
      <c r="C8" s="2" t="s">
        <v>473</v>
      </c>
      <c r="D8" s="2"/>
      <c r="E8" s="2">
        <v>53</v>
      </c>
      <c r="F8" s="4"/>
    </row>
    <row r="9" ht="20" customHeight="1" spans="1:6">
      <c r="A9" s="2">
        <v>7</v>
      </c>
      <c r="B9" s="2" t="s">
        <v>470</v>
      </c>
      <c r="C9" s="2" t="s">
        <v>474</v>
      </c>
      <c r="D9" s="2"/>
      <c r="E9" s="2">
        <v>50</v>
      </c>
      <c r="F9" s="4"/>
    </row>
    <row r="10" ht="20" customHeight="1" spans="1:6">
      <c r="A10" s="2" t="s">
        <v>265</v>
      </c>
      <c r="B10" s="2"/>
      <c r="C10" s="2"/>
      <c r="D10" s="2"/>
      <c r="E10" s="2">
        <f>SUM(E3:E9)</f>
        <v>1550</v>
      </c>
      <c r="F10" s="5"/>
    </row>
  </sheetData>
  <mergeCells count="2">
    <mergeCell ref="A1:F1"/>
    <mergeCell ref="F3:F9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微软中国</Company>
  <Application>Microsoft Excel</Application>
  <HeadingPairs>
    <vt:vector size="2" baseType="variant">
      <vt:variant>
        <vt:lpstr>工作表</vt:lpstr>
      </vt:variant>
      <vt:variant>
        <vt:i4>70</vt:i4>
      </vt:variant>
    </vt:vector>
  </HeadingPairs>
  <TitlesOfParts>
    <vt:vector size="70" baseType="lpstr">
      <vt:lpstr>600章</vt:lpstr>
      <vt:lpstr>602-6-7Gr-B-2E波形梁钢护栏 </vt:lpstr>
      <vt:lpstr>602-6-13 Gr-A-4E 波形梁钢护栏 </vt:lpstr>
      <vt:lpstr>602-6-19 Gr-SB-2E 波形梁钢护栏  </vt:lpstr>
      <vt:lpstr>602-6-20 Gr-SBm-1B1 波形梁钢护栏 </vt:lpstr>
      <vt:lpstr>602-6-21 A级护栏与砼护栏搭接段（含3m翼墙）</vt:lpstr>
      <vt:lpstr>602-6-22 SB级护栏与砼护栏搭接段（含3m翼墙）</vt:lpstr>
      <vt:lpstr>602-6-23SB级护栏隧道入口过渡段（含6m翼墙）</vt:lpstr>
      <vt:lpstr>602-6-24 A级护栏上游端部</vt:lpstr>
      <vt:lpstr>602-6-25 B级护栏上游端部</vt:lpstr>
      <vt:lpstr>602-6-26 SB级护栏上游端部</vt:lpstr>
      <vt:lpstr>602-6-27 TA级防撞垫</vt:lpstr>
      <vt:lpstr>602-7-13 Gr-SBm-2E波形梁钢护栏 </vt:lpstr>
      <vt:lpstr>602-7-15 易开型活动护栏</vt:lpstr>
      <vt:lpstr>602-8-5 D-I端头</vt:lpstr>
      <vt:lpstr>602-8-6 A型端头</vt:lpstr>
      <vt:lpstr>602-8-7  B型端头</vt:lpstr>
      <vt:lpstr>604-1-1 Φ89，停800mm单柱式交通标志 </vt:lpstr>
      <vt:lpstr>604-1-2 Φ89，Δ900mm+○800mm</vt:lpstr>
      <vt:lpstr>604-1-3 Φ89，○1000mm单柱式交通标志 </vt:lpstr>
      <vt:lpstr>604-1-4 Φ89，1200mmX600mm</vt:lpstr>
      <vt:lpstr>604-1-5 Φ89，Δ1100mm</vt:lpstr>
      <vt:lpstr>604-1-6 Φ89，Δ900mm+Δ900mm</vt:lpstr>
      <vt:lpstr>604-1-7 Φ89，线型诱导标600mmx800mm</vt:lpstr>
      <vt:lpstr>604-1-8 Φ89，线型诱导标600mmx800mmx2</vt:lpstr>
      <vt:lpstr>604-1-9 Φ114，○1000+○1000mm</vt:lpstr>
      <vt:lpstr>604-1-10 Φ114，○1000+1200mX800mm</vt:lpstr>
      <vt:lpstr>604-1-11 Φ114，1200mX1500mm</vt:lpstr>
      <vt:lpstr>604-4-1 4000mmX2400mm+3000mmX2</vt:lpstr>
      <vt:lpstr>604-4-2 ○1000mmx3门架式交通标志  </vt:lpstr>
      <vt:lpstr>604-4-3 3000mmX2300mmX3门架式交通标志 </vt:lpstr>
      <vt:lpstr>604-5-1 Φ168，○1000mm单悬臂式交通标志 </vt:lpstr>
      <vt:lpstr>604-5-2 Φ168，○1000mm+○1000mm</vt:lpstr>
      <vt:lpstr>604-5-3 Φ219，3000mmX1800mm</vt:lpstr>
      <vt:lpstr>604-5-4 Φ273，4000mmX1800mm</vt:lpstr>
      <vt:lpstr>604-5-5 Φ325，4000mmX2400mm</vt:lpstr>
      <vt:lpstr>604-5-6 Φ377，5000mmX3000mm</vt:lpstr>
      <vt:lpstr>604-6-1 Φ273，3000mmX2000mmX2</vt:lpstr>
      <vt:lpstr>604-7-1 530mmX340mm</vt:lpstr>
      <vt:lpstr>604-7-2 1400mmX700mmX2</vt:lpstr>
      <vt:lpstr>604-8-1 里程碑</vt:lpstr>
      <vt:lpstr>604-8-2 里程碑</vt:lpstr>
      <vt:lpstr>604-9 公路界碑 </vt:lpstr>
      <vt:lpstr>604-10-1 百米桩</vt:lpstr>
      <vt:lpstr>604-10-2 百米牌</vt:lpstr>
      <vt:lpstr>604-11 防撞桶 </vt:lpstr>
      <vt:lpstr>604-12道路反光镜</vt:lpstr>
      <vt:lpstr>604-13水马 </vt:lpstr>
      <vt:lpstr>605-1-1普通型热熔型涂料路面标线  </vt:lpstr>
      <vt:lpstr>605-1-3震颤标线热熔型涂料路面标线 </vt:lpstr>
      <vt:lpstr>605-1-4 热熔雨夜标线</vt:lpstr>
      <vt:lpstr>605-1-5人行横道线及预告标识</vt:lpstr>
      <vt:lpstr>605-1-6纵向振动减速标线</vt:lpstr>
      <vt:lpstr>605-1-7彩色防滑涂料标线</vt:lpstr>
      <vt:lpstr>605-1-8渠化标线</vt:lpstr>
      <vt:lpstr>605-1-9导向箭头</vt:lpstr>
      <vt:lpstr>605-1-10停止线</vt:lpstr>
      <vt:lpstr>605-1-11让行标线</vt:lpstr>
      <vt:lpstr>605-7-1-1De-Rbwy-E柱式轮廓标 </vt:lpstr>
      <vt:lpstr>605-7-2-1De-Rbwy-At1附着式轮廓标 </vt:lpstr>
      <vt:lpstr>605-7-2-2De-Rbwy-At2附着式轮廓标 </vt:lpstr>
      <vt:lpstr>605-7-2-3De-Rbwy-At3附着式轮廓标 </vt:lpstr>
      <vt:lpstr>605-7-2-4 LDS线型轮廓标</vt:lpstr>
      <vt:lpstr>605-7-6-1 反光轮廓带</vt:lpstr>
      <vt:lpstr>605-7-9 道口标柱 </vt:lpstr>
      <vt:lpstr>605-8-1 立面标记 </vt:lpstr>
      <vt:lpstr>605-10-1 橡胶减速带</vt:lpstr>
      <vt:lpstr>606-1 防眩板 </vt:lpstr>
      <vt:lpstr>607-2-10 洞口电光蓄能自发光标识</vt:lpstr>
      <vt:lpstr>607-2-11 蓄能自发光突起路标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</dc:creator>
  <cp:lastModifiedBy>亮哥</cp:lastModifiedBy>
  <dcterms:created xsi:type="dcterms:W3CDTF">2018-03-06T02:01:00Z</dcterms:created>
  <cp:lastPrinted>2023-02-24T07:17:00Z</cp:lastPrinted>
  <dcterms:modified xsi:type="dcterms:W3CDTF">2023-08-03T06:31:45Z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4E602EB854664A7D8554F1AE269AF4C8</vt:lpwstr>
  </property>
  <property fmtid="{D5CDD505-2E9C-101B-9397-08002B2CF9AE}" pid="3" name="KSOProductBuildVer">
    <vt:lpwstr>2052-11.1.0.14309</vt:lpwstr>
  </property>
</Properties>
</file>