
<file path=[Content_Types].xml><?xml version="1.0" encoding="utf-8"?>
<Types xmlns="http://schemas.openxmlformats.org/package/2006/content-types">
  <Default Extension="vml" ContentType="application/vnd.openxmlformats-officedocument.vmlDrawin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omments1.xml" ContentType="application/vnd.openxmlformats-officedocument.spreadsheetml.comment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/>
  <bookViews>
    <workbookView windowWidth="28125" windowHeight="12330"/>
  </bookViews>
  <sheets>
    <sheet name="400章（新）" sheetId="20" r:id="rId1"/>
  </sheets>
  <definedNames>
    <definedName name="_xlnm._FilterDatabase" localSheetId="0" hidden="1">'400章（新）'!$A$1:$F$100</definedName>
    <definedName name="八号" localSheetId="0">EVALUATE('400章（新）'!#REF!)</definedName>
    <definedName name="八号">EVALUATE(#REF!)</definedName>
    <definedName name="大龙" localSheetId="0">EVALUATE('400章（新）'!#REF!)</definedName>
    <definedName name="大龙">EVALUATE(#REF!)</definedName>
    <definedName name="二号" localSheetId="0">EVALUATE('400章（新）'!#REF!)</definedName>
    <definedName name="二号">EVALUATE(#REF!)</definedName>
    <definedName name="六号" localSheetId="0">EVALUATE('400章（新）'!#REF!)</definedName>
    <definedName name="六号">EVALUATE(#REF!)</definedName>
    <definedName name="七号" localSheetId="0">EVALUATE('400章（新）'!#REF!)</definedName>
    <definedName name="七号">EVALUATE(#REF!)</definedName>
    <definedName name="桥梁" localSheetId="0">EVALUATE('400章（新）'!#REF!)</definedName>
    <definedName name="三号" localSheetId="0">EVALUATE('400章（新）'!#REF!)</definedName>
    <definedName name="三号">EVALUATE(#REF!)</definedName>
    <definedName name="石柱" localSheetId="0">EVALUATE('400章（新）'!#REF!)</definedName>
    <definedName name="石柱">EVALUATE(#REF!)</definedName>
    <definedName name="四号" localSheetId="0">EVALUATE('400章（新）'!#REF!)</definedName>
    <definedName name="四号">EVALUATE(#REF!)</definedName>
    <definedName name="五号" localSheetId="0">EVALUATE('400章（新）'!#REF!)</definedName>
    <definedName name="五号">EVALUATE(#REF!)</definedName>
    <definedName name="一号" localSheetId="0">EVALUATE('400章（新）'!#REF!)</definedName>
    <definedName name="一号">EVALUATE(#REF!)</definedName>
  </definedNames>
  <calcPr calcId="144525"/>
</workbook>
</file>

<file path=xl/comments1.xml><?xml version="1.0" encoding="utf-8"?>
<comments xmlns="http://schemas.openxmlformats.org/spreadsheetml/2006/main">
  <authors>
    <author>本机</author>
  </authors>
  <commentList>
    <comment ref="B34" authorId="0">
      <text>
        <r>
          <rPr>
            <sz val="9"/>
            <rFont val="宋体"/>
            <charset val="134"/>
          </rPr>
          <t xml:space="preserve">含方墩数量
</t>
        </r>
        <r>
          <rPr>
            <sz val="9"/>
            <rFont val="Tahoma"/>
            <charset val="134"/>
          </rPr>
          <t xml:space="preserve">
</t>
        </r>
      </text>
    </comment>
    <comment ref="B55" authorId="0">
      <text>
        <r>
          <rPr>
            <sz val="9"/>
            <rFont val="宋体"/>
            <charset val="134"/>
          </rPr>
          <t xml:space="preserve">含工作长度
</t>
        </r>
        <r>
          <rPr>
            <sz val="9"/>
            <rFont val="Tahoma"/>
            <charset val="134"/>
          </rPr>
          <t xml:space="preserve">
</t>
        </r>
      </text>
    </comment>
    <comment ref="B58" authorId="0">
      <text>
        <r>
          <rPr>
            <b/>
            <sz val="9"/>
            <rFont val="宋体"/>
            <charset val="134"/>
          </rPr>
          <t xml:space="preserve">含齿块
</t>
        </r>
        <r>
          <rPr>
            <sz val="9"/>
            <rFont val="Tahoma"/>
            <charset val="134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<sst xmlns="http://schemas.openxmlformats.org/spreadsheetml/2006/main" count="305" uniqueCount="223">
  <si>
    <t>清单第400章桥梁、涵洞工程</t>
  </si>
  <si>
    <t>七秩塘桥右幅工程量清单</t>
  </si>
  <si>
    <t>七秩塘桥左幅工程量清单</t>
  </si>
  <si>
    <t>横路店大桥右幅</t>
  </si>
  <si>
    <t>横路店大桥左幅</t>
  </si>
  <si>
    <t>马宅大桥</t>
  </si>
  <si>
    <t>马宅互通A辅道桥</t>
  </si>
  <si>
    <t>马宅互通B辅道桥</t>
  </si>
  <si>
    <t>改路桥</t>
  </si>
  <si>
    <t>自承式架空钢管</t>
  </si>
  <si>
    <t>子目号</t>
  </si>
  <si>
    <t>子目名称</t>
  </si>
  <si>
    <t>单位</t>
  </si>
  <si>
    <t>数量</t>
  </si>
  <si>
    <t>单价</t>
  </si>
  <si>
    <t>合价</t>
  </si>
  <si>
    <t>403</t>
  </si>
  <si>
    <t>钢筋</t>
  </si>
  <si>
    <t>403-1</t>
  </si>
  <si>
    <t>基础钢筋</t>
  </si>
  <si>
    <t>403-1-1</t>
  </si>
  <si>
    <t>光圆钢筋</t>
  </si>
  <si>
    <t>kg</t>
  </si>
  <si>
    <t>403-1-2</t>
  </si>
  <si>
    <t>带肋钢筋</t>
  </si>
  <si>
    <t>403-2</t>
  </si>
  <si>
    <t>下部结构钢筋</t>
  </si>
  <si>
    <t>403-2-1</t>
  </si>
  <si>
    <t>403-2-2</t>
  </si>
  <si>
    <t>403-2-3</t>
  </si>
  <si>
    <t>冷轧带肋钢筋焊接网
(台身防裂钢筋网）</t>
  </si>
  <si>
    <t>403-3</t>
  </si>
  <si>
    <t>上部结构钢筋</t>
  </si>
  <si>
    <t>403-3-1</t>
  </si>
  <si>
    <t>403-3-2</t>
  </si>
  <si>
    <t>403-3-3</t>
  </si>
  <si>
    <t>焊接钢筋网</t>
  </si>
  <si>
    <t>403-3-3-2</t>
  </si>
  <si>
    <t>D10冷轧钢筋焊接网</t>
  </si>
  <si>
    <t>403-4</t>
  </si>
  <si>
    <t>附属结构钢筋</t>
  </si>
  <si>
    <t>403-4-1</t>
  </si>
  <si>
    <t>403-4-2</t>
  </si>
  <si>
    <t>404</t>
  </si>
  <si>
    <t>基础挖方及回填</t>
  </si>
  <si>
    <t>404-1</t>
  </si>
  <si>
    <t>m3</t>
  </si>
  <si>
    <t>405</t>
  </si>
  <si>
    <t>钻孔灌注桩</t>
  </si>
  <si>
    <t>405-3</t>
  </si>
  <si>
    <t>钻孔灌注桩(不区分水中、陆上桩)</t>
  </si>
  <si>
    <t>405-3-4</t>
  </si>
  <si>
    <r>
      <rPr>
        <sz val="8"/>
        <rFont val="宋体"/>
        <charset val="134"/>
      </rPr>
      <t>桩径1.</t>
    </r>
    <r>
      <rPr>
        <sz val="8"/>
        <rFont val="宋体"/>
        <charset val="134"/>
      </rPr>
      <t>2</t>
    </r>
    <r>
      <rPr>
        <sz val="8"/>
        <rFont val="宋体"/>
        <charset val="134"/>
      </rPr>
      <t>m</t>
    </r>
  </si>
  <si>
    <t>m</t>
  </si>
  <si>
    <t>405-3-5</t>
  </si>
  <si>
    <r>
      <rPr>
        <sz val="8"/>
        <rFont val="宋体"/>
        <charset val="134"/>
      </rPr>
      <t>桩径1.</t>
    </r>
    <r>
      <rPr>
        <sz val="8"/>
        <rFont val="宋体"/>
        <charset val="134"/>
      </rPr>
      <t>3</t>
    </r>
    <r>
      <rPr>
        <sz val="8"/>
        <rFont val="宋体"/>
        <charset val="134"/>
      </rPr>
      <t>m</t>
    </r>
  </si>
  <si>
    <t>405-3-7</t>
  </si>
  <si>
    <t>桩径1.5m</t>
  </si>
  <si>
    <t>405-3-10</t>
  </si>
  <si>
    <t>桩径1.8m</t>
  </si>
  <si>
    <t>405-4</t>
  </si>
  <si>
    <t>声测管</t>
  </si>
  <si>
    <t>410</t>
  </si>
  <si>
    <t>结构混凝土工程</t>
  </si>
  <si>
    <t>410-1</t>
  </si>
  <si>
    <t>混凝土基础</t>
  </si>
  <si>
    <t>410-1-4</t>
  </si>
  <si>
    <t>C30混凝土</t>
  </si>
  <si>
    <t>410-2</t>
  </si>
  <si>
    <t>混凝土下部结构</t>
  </si>
  <si>
    <t>410-2-1</t>
  </si>
  <si>
    <t>立柱混凝土</t>
  </si>
  <si>
    <t>410-2-1-2</t>
  </si>
  <si>
    <r>
      <rPr>
        <sz val="8"/>
        <rFont val="宋体"/>
        <charset val="134"/>
      </rPr>
      <t>C3</t>
    </r>
    <r>
      <rPr>
        <sz val="8"/>
        <rFont val="宋体"/>
        <charset val="134"/>
      </rPr>
      <t>0</t>
    </r>
    <r>
      <rPr>
        <sz val="8"/>
        <rFont val="宋体"/>
        <charset val="134"/>
      </rPr>
      <t>混凝土</t>
    </r>
  </si>
  <si>
    <r>
      <rPr>
        <sz val="8"/>
        <color indexed="8"/>
        <rFont val="宋体"/>
        <charset val="134"/>
      </rPr>
      <t>m</t>
    </r>
    <r>
      <rPr>
        <sz val="8"/>
        <color indexed="8"/>
        <rFont val="宋体"/>
        <charset val="134"/>
      </rPr>
      <t>3</t>
    </r>
  </si>
  <si>
    <t>410-2-1-3</t>
  </si>
  <si>
    <t>C35混凝土</t>
  </si>
  <si>
    <t>410-2-2</t>
  </si>
  <si>
    <t xml:space="preserve">墩台身混凝土 </t>
  </si>
  <si>
    <r>
      <rPr>
        <sz val="8"/>
        <color indexed="8"/>
        <rFont val="宋体"/>
        <charset val="134"/>
      </rPr>
      <t>4</t>
    </r>
    <r>
      <rPr>
        <sz val="8"/>
        <color indexed="8"/>
        <rFont val="宋体"/>
        <charset val="134"/>
      </rPr>
      <t>10-2-1-1</t>
    </r>
  </si>
  <si>
    <t>C25混凝土（镇墩）</t>
  </si>
  <si>
    <t>410-2-2-3</t>
  </si>
  <si>
    <t xml:space="preserve">C35混凝土 </t>
  </si>
  <si>
    <t>410-2-3</t>
  </si>
  <si>
    <t>墩台帽、防震挡块混凝土</t>
  </si>
  <si>
    <t>410-2-3-3</t>
  </si>
  <si>
    <r>
      <rPr>
        <sz val="8"/>
        <rFont val="宋体"/>
        <charset val="134"/>
      </rPr>
      <t>C5</t>
    </r>
    <r>
      <rPr>
        <sz val="8"/>
        <rFont val="宋体"/>
        <charset val="134"/>
      </rPr>
      <t>0混凝土</t>
    </r>
    <r>
      <rPr>
        <sz val="8"/>
        <rFont val="宋体"/>
        <charset val="134"/>
      </rPr>
      <t>(盖梁挡块）</t>
    </r>
  </si>
  <si>
    <t>410-2-3-5</t>
  </si>
  <si>
    <t>C35混凝土（台帽、耳背墙、挡块、挡土板）</t>
  </si>
  <si>
    <t>410-2-4-3</t>
  </si>
  <si>
    <t>C35混凝土（耳背墙）</t>
  </si>
  <si>
    <t>410-2-5</t>
  </si>
  <si>
    <t>盖梁混凝土</t>
  </si>
  <si>
    <t>410-2-5-3</t>
  </si>
  <si>
    <r>
      <rPr>
        <sz val="8"/>
        <rFont val="宋体"/>
        <charset val="134"/>
      </rPr>
      <t>C</t>
    </r>
    <r>
      <rPr>
        <sz val="8"/>
        <rFont val="宋体"/>
        <charset val="134"/>
      </rPr>
      <t>50混凝土</t>
    </r>
  </si>
  <si>
    <t>410-2-5-5</t>
  </si>
  <si>
    <t>410-2-6</t>
  </si>
  <si>
    <t>墩间系梁混凝土</t>
  </si>
  <si>
    <t>410-2-6-3</t>
  </si>
  <si>
    <t>C35混凝土(柱系梁）</t>
  </si>
  <si>
    <r>
      <rPr>
        <sz val="8"/>
        <color indexed="8"/>
        <rFont val="宋体"/>
        <charset val="134"/>
      </rPr>
      <t>4</t>
    </r>
    <r>
      <rPr>
        <sz val="8"/>
        <color indexed="8"/>
        <rFont val="宋体"/>
        <charset val="134"/>
      </rPr>
      <t>10-2-7</t>
    </r>
  </si>
  <si>
    <t>支座垫石</t>
  </si>
  <si>
    <r>
      <rPr>
        <sz val="8"/>
        <color indexed="8"/>
        <rFont val="宋体"/>
        <charset val="134"/>
      </rPr>
      <t>4</t>
    </r>
    <r>
      <rPr>
        <sz val="8"/>
        <color indexed="8"/>
        <rFont val="宋体"/>
        <charset val="134"/>
      </rPr>
      <t>10-2-7-5</t>
    </r>
  </si>
  <si>
    <t>410-5</t>
  </si>
  <si>
    <t>桥梁上部结构现浇整体化混凝土</t>
  </si>
  <si>
    <t>410-5-5</t>
  </si>
  <si>
    <t>C50混凝土</t>
  </si>
  <si>
    <t>410-6</t>
  </si>
  <si>
    <t>现浇混凝土附属结构</t>
  </si>
  <si>
    <t>410-6-5</t>
  </si>
  <si>
    <t>410-6-8</t>
  </si>
  <si>
    <t>C50混凝土（护栏背包砼加劲肋）</t>
  </si>
  <si>
    <t>411</t>
  </si>
  <si>
    <t>预应力混凝土工程</t>
  </si>
  <si>
    <t>411-5</t>
  </si>
  <si>
    <t>后张法预应力钢绞线</t>
  </si>
  <si>
    <t>411-8</t>
  </si>
  <si>
    <t>预制预应力混凝土上部结构</t>
  </si>
  <si>
    <t>411-8-3</t>
  </si>
  <si>
    <t>T梁</t>
  </si>
  <si>
    <t>411-8-3-3</t>
  </si>
  <si>
    <r>
      <rPr>
        <sz val="8"/>
        <rFont val="宋体"/>
        <charset val="134"/>
      </rPr>
      <t>C50混凝土（</t>
    </r>
    <r>
      <rPr>
        <sz val="8"/>
        <rFont val="宋体"/>
        <charset val="134"/>
      </rPr>
      <t>预制部分）</t>
    </r>
  </si>
  <si>
    <t>411-8-4</t>
  </si>
  <si>
    <t>矮T梁</t>
  </si>
  <si>
    <t>411-4-8-3</t>
  </si>
  <si>
    <t>413</t>
  </si>
  <si>
    <t>砌石工程</t>
  </si>
  <si>
    <t>413-1</t>
  </si>
  <si>
    <t>浆砌片石</t>
  </si>
  <si>
    <t>413-1-1</t>
  </si>
  <si>
    <t>M7.5浆砌片石</t>
  </si>
  <si>
    <t>413-1-2</t>
  </si>
  <si>
    <t>衡重式路堤墙墙后填料</t>
  </si>
  <si>
    <t>413-1-3</t>
  </si>
  <si>
    <t>级配碎石换填</t>
  </si>
  <si>
    <t>413-4</t>
  </si>
  <si>
    <t>浆砌预制混凝土块</t>
  </si>
  <si>
    <t>413-4-1</t>
  </si>
  <si>
    <t>六角空心块</t>
  </si>
  <si>
    <t>413-4-2</t>
  </si>
  <si>
    <t>锥坡挡墙（C20片石砼）</t>
  </si>
  <si>
    <t>414</t>
  </si>
  <si>
    <t>小型钢构件</t>
  </si>
  <si>
    <t>414-1</t>
  </si>
  <si>
    <t>预埋钢材</t>
  </si>
  <si>
    <r>
      <rPr>
        <sz val="8"/>
        <color indexed="8"/>
        <rFont val="宋体"/>
        <charset val="134"/>
      </rPr>
      <t>k</t>
    </r>
    <r>
      <rPr>
        <sz val="8"/>
        <color indexed="8"/>
        <rFont val="宋体"/>
        <charset val="134"/>
      </rPr>
      <t>g</t>
    </r>
  </si>
  <si>
    <t>414-2</t>
  </si>
  <si>
    <t>金属防抛网</t>
  </si>
  <si>
    <t>415</t>
  </si>
  <si>
    <t>桥面铺装</t>
  </si>
  <si>
    <r>
      <rPr>
        <sz val="8"/>
        <color indexed="8"/>
        <rFont val="宋体"/>
        <charset val="134"/>
      </rPr>
      <t>415-</t>
    </r>
    <r>
      <rPr>
        <sz val="8"/>
        <color indexed="8"/>
        <rFont val="宋体"/>
        <charset val="134"/>
      </rPr>
      <t>1</t>
    </r>
  </si>
  <si>
    <t>水泥混凝土桥面调平层（C50）</t>
  </si>
  <si>
    <t>416</t>
  </si>
  <si>
    <t>桥梁支座</t>
  </si>
  <si>
    <t>416-1</t>
  </si>
  <si>
    <t>板式橡胶支座</t>
  </si>
  <si>
    <t>416-1-1</t>
  </si>
  <si>
    <r>
      <rPr>
        <sz val="8"/>
        <rFont val="宋体"/>
        <charset val="134"/>
      </rPr>
      <t>G</t>
    </r>
    <r>
      <rPr>
        <sz val="8"/>
        <rFont val="宋体"/>
        <charset val="134"/>
      </rPr>
      <t>BZ</t>
    </r>
    <r>
      <rPr>
        <sz val="8"/>
        <rFont val="宋体"/>
        <charset val="134"/>
      </rPr>
      <t xml:space="preserve">J </t>
    </r>
    <r>
      <rPr>
        <sz val="8"/>
        <rFont val="宋体"/>
        <charset val="134"/>
      </rPr>
      <t>250</t>
    </r>
    <r>
      <rPr>
        <sz val="8"/>
        <rFont val="宋体"/>
        <charset val="134"/>
      </rPr>
      <t>×</t>
    </r>
    <r>
      <rPr>
        <sz val="8"/>
        <rFont val="宋体"/>
        <charset val="134"/>
      </rPr>
      <t>300</t>
    </r>
    <r>
      <rPr>
        <sz val="8"/>
        <rFont val="宋体"/>
        <charset val="134"/>
      </rPr>
      <t>×5</t>
    </r>
    <r>
      <rPr>
        <sz val="8"/>
        <rFont val="宋体"/>
        <charset val="134"/>
      </rPr>
      <t>2</t>
    </r>
    <r>
      <rPr>
        <sz val="8"/>
        <rFont val="宋体"/>
        <charset val="134"/>
      </rPr>
      <t>mm</t>
    </r>
  </si>
  <si>
    <t>个</t>
  </si>
  <si>
    <t>416-1-2</t>
  </si>
  <si>
    <r>
      <rPr>
        <sz val="8"/>
        <rFont val="宋体"/>
        <charset val="134"/>
      </rPr>
      <t>GBZ</t>
    </r>
    <r>
      <rPr>
        <sz val="8"/>
        <rFont val="宋体"/>
        <charset val="134"/>
      </rPr>
      <t xml:space="preserve">J </t>
    </r>
    <r>
      <rPr>
        <sz val="8"/>
        <rFont val="宋体"/>
        <charset val="134"/>
      </rPr>
      <t>250</t>
    </r>
    <r>
      <rPr>
        <sz val="8"/>
        <rFont val="宋体"/>
        <charset val="134"/>
      </rPr>
      <t>×</t>
    </r>
    <r>
      <rPr>
        <sz val="8"/>
        <rFont val="宋体"/>
        <charset val="134"/>
      </rPr>
      <t>25</t>
    </r>
    <r>
      <rPr>
        <sz val="8"/>
        <rFont val="宋体"/>
        <charset val="134"/>
      </rPr>
      <t>0</t>
    </r>
    <r>
      <rPr>
        <sz val="8"/>
        <rFont val="宋体"/>
        <charset val="134"/>
      </rPr>
      <t>×</t>
    </r>
    <r>
      <rPr>
        <sz val="8"/>
        <rFont val="宋体"/>
        <charset val="134"/>
      </rPr>
      <t>41</t>
    </r>
    <r>
      <rPr>
        <sz val="8"/>
        <rFont val="宋体"/>
        <charset val="134"/>
      </rPr>
      <t>mm</t>
    </r>
  </si>
  <si>
    <t>416-2</t>
  </si>
  <si>
    <t>盆式支座</t>
  </si>
  <si>
    <r>
      <rPr>
        <sz val="8"/>
        <color indexed="8"/>
        <rFont val="宋体"/>
        <charset val="134"/>
      </rPr>
      <t>4</t>
    </r>
    <r>
      <rPr>
        <sz val="8"/>
        <color indexed="8"/>
        <rFont val="宋体"/>
        <charset val="134"/>
      </rPr>
      <t>16-2-1</t>
    </r>
  </si>
  <si>
    <t>GPZ(2019)1.5 SX</t>
  </si>
  <si>
    <r>
      <rPr>
        <sz val="8"/>
        <color indexed="8"/>
        <rFont val="宋体"/>
        <charset val="134"/>
      </rPr>
      <t>4</t>
    </r>
    <r>
      <rPr>
        <sz val="8"/>
        <color indexed="8"/>
        <rFont val="宋体"/>
        <charset val="134"/>
      </rPr>
      <t>16-2-2</t>
    </r>
  </si>
  <si>
    <t>GPZ(2019)1.5 DX</t>
  </si>
  <si>
    <r>
      <rPr>
        <sz val="8"/>
        <color indexed="8"/>
        <rFont val="宋体"/>
        <charset val="134"/>
      </rPr>
      <t>4</t>
    </r>
    <r>
      <rPr>
        <sz val="8"/>
        <color indexed="8"/>
        <rFont val="宋体"/>
        <charset val="134"/>
      </rPr>
      <t>16-2-3</t>
    </r>
  </si>
  <si>
    <t>GPZ(2019)2.5 SX</t>
  </si>
  <si>
    <r>
      <rPr>
        <sz val="8"/>
        <color indexed="8"/>
        <rFont val="宋体"/>
        <charset val="134"/>
      </rPr>
      <t>4</t>
    </r>
    <r>
      <rPr>
        <sz val="8"/>
        <color indexed="8"/>
        <rFont val="宋体"/>
        <charset val="134"/>
      </rPr>
      <t>16-2-4</t>
    </r>
  </si>
  <si>
    <t>GPZ(2019)2.5 DX</t>
  </si>
  <si>
    <r>
      <rPr>
        <sz val="8"/>
        <color indexed="8"/>
        <rFont val="宋体"/>
        <charset val="134"/>
      </rPr>
      <t>4</t>
    </r>
    <r>
      <rPr>
        <sz val="8"/>
        <color indexed="8"/>
        <rFont val="宋体"/>
        <charset val="134"/>
      </rPr>
      <t>16-2-5</t>
    </r>
  </si>
  <si>
    <t>GPZ(2019)2.5 GD</t>
  </si>
  <si>
    <r>
      <rPr>
        <sz val="8"/>
        <color indexed="8"/>
        <rFont val="宋体"/>
        <charset val="134"/>
      </rPr>
      <t>4</t>
    </r>
    <r>
      <rPr>
        <sz val="8"/>
        <color indexed="8"/>
        <rFont val="宋体"/>
        <charset val="134"/>
      </rPr>
      <t>16-2-6</t>
    </r>
  </si>
  <si>
    <r>
      <rPr>
        <sz val="8"/>
        <rFont val="宋体"/>
        <charset val="134"/>
      </rPr>
      <t>GPZ(2019)</t>
    </r>
    <r>
      <rPr>
        <sz val="8"/>
        <rFont val="宋体"/>
        <charset val="134"/>
      </rPr>
      <t>2.0</t>
    </r>
    <r>
      <rPr>
        <sz val="8"/>
        <rFont val="宋体"/>
        <charset val="134"/>
      </rPr>
      <t xml:space="preserve"> SX</t>
    </r>
  </si>
  <si>
    <r>
      <rPr>
        <sz val="8"/>
        <color indexed="8"/>
        <rFont val="宋体"/>
        <charset val="134"/>
      </rPr>
      <t>4</t>
    </r>
    <r>
      <rPr>
        <sz val="8"/>
        <color indexed="8"/>
        <rFont val="宋体"/>
        <charset val="134"/>
      </rPr>
      <t>16-2-7</t>
    </r>
  </si>
  <si>
    <r>
      <rPr>
        <sz val="8"/>
        <rFont val="宋体"/>
        <charset val="134"/>
      </rPr>
      <t>GPZ(2019)</t>
    </r>
    <r>
      <rPr>
        <sz val="8"/>
        <rFont val="宋体"/>
        <charset val="134"/>
      </rPr>
      <t>2.0</t>
    </r>
    <r>
      <rPr>
        <sz val="8"/>
        <rFont val="宋体"/>
        <charset val="134"/>
      </rPr>
      <t xml:space="preserve"> DX</t>
    </r>
  </si>
  <si>
    <r>
      <rPr>
        <sz val="8"/>
        <color indexed="8"/>
        <rFont val="宋体"/>
        <charset val="134"/>
      </rPr>
      <t>4</t>
    </r>
    <r>
      <rPr>
        <sz val="8"/>
        <color indexed="8"/>
        <rFont val="宋体"/>
        <charset val="134"/>
      </rPr>
      <t>16-2-8</t>
    </r>
  </si>
  <si>
    <r>
      <rPr>
        <sz val="8"/>
        <rFont val="宋体"/>
        <charset val="134"/>
      </rPr>
      <t>GPZ(2019)</t>
    </r>
    <r>
      <rPr>
        <sz val="8"/>
        <rFont val="宋体"/>
        <charset val="134"/>
      </rPr>
      <t>3.5</t>
    </r>
    <r>
      <rPr>
        <sz val="8"/>
        <rFont val="宋体"/>
        <charset val="134"/>
      </rPr>
      <t xml:space="preserve"> SX</t>
    </r>
  </si>
  <si>
    <r>
      <rPr>
        <sz val="8"/>
        <color indexed="8"/>
        <rFont val="宋体"/>
        <charset val="134"/>
      </rPr>
      <t>4</t>
    </r>
    <r>
      <rPr>
        <sz val="8"/>
        <color indexed="8"/>
        <rFont val="宋体"/>
        <charset val="134"/>
      </rPr>
      <t>16-2-9</t>
    </r>
  </si>
  <si>
    <r>
      <rPr>
        <sz val="8"/>
        <rFont val="宋体"/>
        <charset val="134"/>
      </rPr>
      <t>GPZ(2019)</t>
    </r>
    <r>
      <rPr>
        <sz val="8"/>
        <rFont val="宋体"/>
        <charset val="134"/>
      </rPr>
      <t>3.5</t>
    </r>
    <r>
      <rPr>
        <sz val="8"/>
        <rFont val="宋体"/>
        <charset val="134"/>
      </rPr>
      <t xml:space="preserve"> DX</t>
    </r>
  </si>
  <si>
    <r>
      <rPr>
        <sz val="8"/>
        <color indexed="8"/>
        <rFont val="宋体"/>
        <charset val="134"/>
      </rPr>
      <t>4</t>
    </r>
    <r>
      <rPr>
        <sz val="8"/>
        <color indexed="8"/>
        <rFont val="宋体"/>
        <charset val="134"/>
      </rPr>
      <t>16-2-10</t>
    </r>
  </si>
  <si>
    <r>
      <rPr>
        <sz val="8"/>
        <rFont val="宋体"/>
        <charset val="134"/>
      </rPr>
      <t>GPZ(2019)</t>
    </r>
    <r>
      <rPr>
        <sz val="8"/>
        <rFont val="宋体"/>
        <charset val="134"/>
      </rPr>
      <t>3.5</t>
    </r>
    <r>
      <rPr>
        <sz val="8"/>
        <rFont val="宋体"/>
        <charset val="134"/>
      </rPr>
      <t xml:space="preserve"> GD</t>
    </r>
  </si>
  <si>
    <t>417</t>
  </si>
  <si>
    <t>桥梁接缝和伸缩装置</t>
  </si>
  <si>
    <t>417-5</t>
  </si>
  <si>
    <t>异型钢伸缩装置</t>
  </si>
  <si>
    <r>
      <rPr>
        <sz val="8"/>
        <color indexed="8"/>
        <rFont val="宋体"/>
        <charset val="134"/>
      </rPr>
      <t>417-5-</t>
    </r>
    <r>
      <rPr>
        <sz val="8"/>
        <color indexed="8"/>
        <rFont val="宋体"/>
        <charset val="134"/>
      </rPr>
      <t>1</t>
    </r>
  </si>
  <si>
    <t>40型</t>
  </si>
  <si>
    <t>417-5-2</t>
  </si>
  <si>
    <t>60型</t>
  </si>
  <si>
    <t>417-5-3</t>
  </si>
  <si>
    <t>80型</t>
  </si>
  <si>
    <t>417-5-5</t>
  </si>
  <si>
    <t>160型</t>
  </si>
  <si>
    <t>418</t>
  </si>
  <si>
    <t>防水处理</t>
  </si>
  <si>
    <r>
      <rPr>
        <sz val="8"/>
        <color indexed="8"/>
        <rFont val="宋体"/>
        <charset val="134"/>
      </rPr>
      <t>4</t>
    </r>
    <r>
      <rPr>
        <sz val="8"/>
        <color indexed="8"/>
        <rFont val="宋体"/>
        <charset val="134"/>
      </rPr>
      <t>18-1</t>
    </r>
  </si>
  <si>
    <t>竖、横向集中排水管</t>
  </si>
  <si>
    <t>418-1-1</t>
  </si>
  <si>
    <t>DN160</t>
  </si>
  <si>
    <t>418-1-2</t>
  </si>
  <si>
    <t>DN200</t>
  </si>
  <si>
    <t>418-2</t>
  </si>
  <si>
    <t>桥面边部碎石盲沟</t>
  </si>
  <si>
    <t>418-3</t>
  </si>
  <si>
    <t>泄水管</t>
  </si>
  <si>
    <t>套</t>
  </si>
  <si>
    <t>架空钢管</t>
  </si>
  <si>
    <r>
      <rPr>
        <sz val="8"/>
        <color theme="1"/>
        <rFont val="宋体"/>
        <charset val="134"/>
        <scheme val="minor"/>
      </rPr>
      <t>4</t>
    </r>
    <r>
      <rPr>
        <sz val="8"/>
        <color indexed="8"/>
        <rFont val="宋体"/>
        <charset val="134"/>
      </rPr>
      <t>24-1</t>
    </r>
  </si>
  <si>
    <r>
      <rPr>
        <sz val="8"/>
        <rFont val="宋体"/>
        <charset val="134"/>
        <scheme val="minor"/>
      </rPr>
      <t>D</t>
    </r>
    <r>
      <rPr>
        <sz val="8"/>
        <rFont val="宋体"/>
        <charset val="134"/>
      </rPr>
      <t>N1000钢管（Q235B镇静钢）</t>
    </r>
  </si>
  <si>
    <t>424-2</t>
  </si>
  <si>
    <t>套筒式伸缩节</t>
  </si>
  <si>
    <r>
      <rPr>
        <sz val="8"/>
        <color theme="1"/>
        <rFont val="宋体"/>
        <charset val="134"/>
        <scheme val="minor"/>
      </rPr>
      <t>4</t>
    </r>
    <r>
      <rPr>
        <sz val="8"/>
        <color indexed="8"/>
        <rFont val="宋体"/>
        <charset val="134"/>
      </rPr>
      <t>24-3</t>
    </r>
  </si>
  <si>
    <t>限高标志</t>
  </si>
  <si>
    <r>
      <rPr>
        <sz val="10"/>
        <color theme="1"/>
        <rFont val="宋体"/>
        <charset val="134"/>
        <scheme val="minor"/>
      </rPr>
      <t>4</t>
    </r>
    <r>
      <rPr>
        <sz val="10"/>
        <color rgb="FF000000"/>
        <rFont val="宋体"/>
        <charset val="134"/>
      </rPr>
      <t>24-4</t>
    </r>
  </si>
  <si>
    <t>光圆钢筋（竖井盖板钢筋）</t>
  </si>
  <si>
    <r>
      <rPr>
        <sz val="10"/>
        <color theme="1"/>
        <rFont val="宋体"/>
        <charset val="134"/>
        <scheme val="minor"/>
      </rPr>
      <t>4</t>
    </r>
    <r>
      <rPr>
        <sz val="10"/>
        <color indexed="8"/>
        <rFont val="宋体"/>
        <charset val="134"/>
      </rPr>
      <t>24-5</t>
    </r>
  </si>
  <si>
    <t>C30混凝土（竖井盖板C30混凝土）</t>
  </si>
  <si>
    <r>
      <rPr>
        <sz val="10"/>
        <color theme="1"/>
        <rFont val="宋体"/>
        <charset val="134"/>
        <scheme val="minor"/>
      </rPr>
      <t>4</t>
    </r>
    <r>
      <rPr>
        <sz val="10"/>
        <color indexed="8"/>
        <rFont val="宋体"/>
        <charset val="134"/>
      </rPr>
      <t>24-6</t>
    </r>
  </si>
  <si>
    <t>C25混凝土（竖井井身镇墩，修复C25混凝土）</t>
  </si>
  <si>
    <r>
      <rPr>
        <sz val="10"/>
        <color theme="1"/>
        <rFont val="宋体"/>
        <charset val="134"/>
        <scheme val="minor"/>
      </rPr>
      <t>4</t>
    </r>
    <r>
      <rPr>
        <sz val="10"/>
        <color indexed="8"/>
        <rFont val="宋体"/>
        <charset val="134"/>
      </rPr>
      <t>24-7</t>
    </r>
  </si>
  <si>
    <t>砂砾垫层</t>
  </si>
</sst>
</file>

<file path=xl/styles.xml><?xml version="1.0" encoding="utf-8"?>
<styleSheet xmlns="http://schemas.openxmlformats.org/spreadsheetml/2006/main">
  <numFmts count="6"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  <numFmt numFmtId="176" formatCode="0.0_ "/>
    <numFmt numFmtId="177" formatCode="0.00_ "/>
  </numFmts>
  <fonts count="37">
    <font>
      <sz val="11"/>
      <color theme="1"/>
      <name val="宋体"/>
      <charset val="134"/>
      <scheme val="minor"/>
    </font>
    <font>
      <sz val="8"/>
      <name val="宋体"/>
      <charset val="134"/>
      <scheme val="minor"/>
    </font>
    <font>
      <sz val="8"/>
      <color theme="1"/>
      <name val="宋体"/>
      <charset val="134"/>
      <scheme val="minor"/>
    </font>
    <font>
      <sz val="11"/>
      <name val="宋体"/>
      <charset val="134"/>
      <scheme val="minor"/>
    </font>
    <font>
      <b/>
      <sz val="11"/>
      <color indexed="8"/>
      <name val="宋体"/>
      <charset val="134"/>
    </font>
    <font>
      <b/>
      <sz val="8"/>
      <color indexed="8"/>
      <name val="宋体"/>
      <charset val="134"/>
    </font>
    <font>
      <b/>
      <sz val="8"/>
      <name val="宋体"/>
      <charset val="134"/>
    </font>
    <font>
      <sz val="8"/>
      <color indexed="8"/>
      <name val="宋体"/>
      <charset val="134"/>
    </font>
    <font>
      <sz val="8"/>
      <name val="宋体"/>
      <charset val="134"/>
    </font>
    <font>
      <sz val="9"/>
      <name val="宋体"/>
      <charset val="134"/>
    </font>
    <font>
      <sz val="10"/>
      <color indexed="8"/>
      <name val="宋体"/>
      <charset val="134"/>
    </font>
    <font>
      <sz val="10"/>
      <name val="宋体"/>
      <charset val="134"/>
    </font>
    <font>
      <sz val="10"/>
      <color theme="1"/>
      <name val="宋体"/>
      <charset val="134"/>
      <scheme val="minor"/>
    </font>
    <font>
      <sz val="10"/>
      <name val="Arial"/>
      <charset val="134"/>
    </font>
    <font>
      <sz val="11"/>
      <color theme="1"/>
      <name val="宋体"/>
      <charset val="0"/>
      <scheme val="minor"/>
    </font>
    <font>
      <sz val="11"/>
      <color rgb="FF3F3F76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theme="0"/>
      <name val="宋体"/>
      <charset val="0"/>
      <scheme val="minor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b/>
      <sz val="11"/>
      <color theme="3"/>
      <name val="宋体"/>
      <charset val="134"/>
      <scheme val="minor"/>
    </font>
    <font>
      <sz val="11"/>
      <color rgb="FFFF0000"/>
      <name val="宋体"/>
      <charset val="0"/>
      <scheme val="minor"/>
    </font>
    <font>
      <b/>
      <sz val="18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b/>
      <sz val="11"/>
      <color rgb="FF3F3F3F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rgb="FF9C6500"/>
      <name val="宋体"/>
      <charset val="0"/>
      <scheme val="minor"/>
    </font>
    <font>
      <sz val="10"/>
      <color rgb="FF000000"/>
      <name val="宋体"/>
      <charset val="134"/>
    </font>
    <font>
      <sz val="9"/>
      <name val="宋体"/>
      <charset val="134"/>
    </font>
    <font>
      <sz val="9"/>
      <name val="Tahoma"/>
      <charset val="134"/>
    </font>
    <font>
      <b/>
      <sz val="9"/>
      <name val="宋体"/>
      <charset val="134"/>
    </font>
  </fonts>
  <fills count="35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18">
    <border>
      <left/>
      <right/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8"/>
      </left>
      <right style="thin">
        <color indexed="8"/>
      </right>
      <top/>
      <bottom style="thin">
        <color indexed="8"/>
      </bottom>
      <diagonal/>
    </border>
    <border>
      <left/>
      <right style="thin">
        <color indexed="8"/>
      </right>
      <top/>
      <bottom style="thin">
        <color indexed="8"/>
      </bottom>
      <diagonal/>
    </border>
    <border>
      <left style="medium">
        <color indexed="8"/>
      </left>
      <right style="thin">
        <color indexed="8"/>
      </right>
      <top/>
      <bottom/>
      <diagonal/>
    </border>
    <border>
      <left/>
      <right style="thin">
        <color indexed="8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111">
    <xf numFmtId="0" fontId="0" fillId="0" borderId="0">
      <alignment vertical="center"/>
    </xf>
    <xf numFmtId="42" fontId="0" fillId="0" borderId="0" applyFont="0" applyFill="0" applyBorder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0" fontId="13" fillId="0" borderId="0"/>
    <xf numFmtId="0" fontId="13" fillId="0" borderId="0"/>
    <xf numFmtId="0" fontId="14" fillId="4" borderId="0" applyNumberFormat="0" applyBorder="0" applyAlignment="0" applyProtection="0">
      <alignment vertical="center"/>
    </xf>
    <xf numFmtId="0" fontId="15" fillId="5" borderId="10" applyNumberFormat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14" fillId="6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17" fillId="8" borderId="0" applyNumberFormat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0" fillId="9" borderId="11" applyNumberFormat="0" applyFont="0" applyAlignment="0" applyProtection="0">
      <alignment vertical="center"/>
    </xf>
    <xf numFmtId="0" fontId="13" fillId="0" borderId="0"/>
    <xf numFmtId="0" fontId="17" fillId="10" borderId="0" applyNumberFormat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13" fillId="0" borderId="0"/>
    <xf numFmtId="0" fontId="23" fillId="0" borderId="0" applyNumberFormat="0" applyFill="0" applyBorder="0" applyAlignment="0" applyProtection="0">
      <alignment vertical="center"/>
    </xf>
    <xf numFmtId="0" fontId="24" fillId="0" borderId="12" applyNumberFormat="0" applyFill="0" applyAlignment="0" applyProtection="0">
      <alignment vertical="center"/>
    </xf>
    <xf numFmtId="0" fontId="25" fillId="0" borderId="12" applyNumberFormat="0" applyFill="0" applyAlignment="0" applyProtection="0">
      <alignment vertical="center"/>
    </xf>
    <xf numFmtId="0" fontId="17" fillId="11" borderId="0" applyNumberFormat="0" applyBorder="0" applyAlignment="0" applyProtection="0">
      <alignment vertical="center"/>
    </xf>
    <xf numFmtId="0" fontId="20" fillId="0" borderId="13" applyNumberFormat="0" applyFill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26" fillId="13" borderId="14" applyNumberFormat="0" applyAlignment="0" applyProtection="0">
      <alignment vertical="center"/>
    </xf>
    <xf numFmtId="0" fontId="27" fillId="13" borderId="10" applyNumberFormat="0" applyAlignment="0" applyProtection="0">
      <alignment vertical="center"/>
    </xf>
    <xf numFmtId="0" fontId="13" fillId="0" borderId="0"/>
    <xf numFmtId="0" fontId="13" fillId="0" borderId="0"/>
    <xf numFmtId="0" fontId="28" fillId="14" borderId="15" applyNumberFormat="0" applyAlignment="0" applyProtection="0">
      <alignment vertical="center"/>
    </xf>
    <xf numFmtId="0" fontId="14" fillId="15" borderId="0" applyNumberFormat="0" applyBorder="0" applyAlignment="0" applyProtection="0">
      <alignment vertical="center"/>
    </xf>
    <xf numFmtId="0" fontId="17" fillId="16" borderId="0" applyNumberFormat="0" applyBorder="0" applyAlignment="0" applyProtection="0">
      <alignment vertical="center"/>
    </xf>
    <xf numFmtId="0" fontId="29" fillId="0" borderId="16" applyNumberFormat="0" applyFill="0" applyAlignment="0" applyProtection="0">
      <alignment vertical="center"/>
    </xf>
    <xf numFmtId="0" fontId="30" fillId="0" borderId="17" applyNumberFormat="0" applyFill="0" applyAlignment="0" applyProtection="0">
      <alignment vertical="center"/>
    </xf>
    <xf numFmtId="0" fontId="31" fillId="17" borderId="0" applyNumberFormat="0" applyBorder="0" applyAlignment="0" applyProtection="0">
      <alignment vertical="center"/>
    </xf>
    <xf numFmtId="0" fontId="13" fillId="0" borderId="0"/>
    <xf numFmtId="0" fontId="13" fillId="0" borderId="0"/>
    <xf numFmtId="0" fontId="32" fillId="18" borderId="0" applyNumberFormat="0" applyBorder="0" applyAlignment="0" applyProtection="0">
      <alignment vertical="center"/>
    </xf>
    <xf numFmtId="0" fontId="14" fillId="19" borderId="0" applyNumberFormat="0" applyBorder="0" applyAlignment="0" applyProtection="0">
      <alignment vertical="center"/>
    </xf>
    <xf numFmtId="0" fontId="17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2" borderId="0" applyNumberFormat="0" applyBorder="0" applyAlignment="0" applyProtection="0">
      <alignment vertical="center"/>
    </xf>
    <xf numFmtId="0" fontId="14" fillId="23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7" fillId="26" borderId="0" applyNumberFormat="0" applyBorder="0" applyAlignment="0" applyProtection="0">
      <alignment vertical="center"/>
    </xf>
    <xf numFmtId="0" fontId="14" fillId="27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4" fillId="30" borderId="0" applyNumberFormat="0" applyBorder="0" applyAlignment="0" applyProtection="0">
      <alignment vertical="center"/>
    </xf>
    <xf numFmtId="0" fontId="17" fillId="31" borderId="0" applyNumberFormat="0" applyBorder="0" applyAlignment="0" applyProtection="0">
      <alignment vertical="center"/>
    </xf>
    <xf numFmtId="0" fontId="17" fillId="32" borderId="0" applyNumberFormat="0" applyBorder="0" applyAlignment="0" applyProtection="0">
      <alignment vertical="center"/>
    </xf>
    <xf numFmtId="0" fontId="13" fillId="0" borderId="0"/>
    <xf numFmtId="0" fontId="14" fillId="33" borderId="0" applyNumberFormat="0" applyBorder="0" applyAlignment="0" applyProtection="0">
      <alignment vertical="center"/>
    </xf>
    <xf numFmtId="0" fontId="17" fillId="34" borderId="0" applyNumberFormat="0" applyBorder="0" applyAlignment="0" applyProtection="0">
      <alignment vertical="center"/>
    </xf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0" fillId="0" borderId="0">
      <alignment vertical="center"/>
    </xf>
    <xf numFmtId="0" fontId="13" fillId="0" borderId="0"/>
    <xf numFmtId="0" fontId="13" fillId="0" borderId="0"/>
    <xf numFmtId="0" fontId="13" fillId="0" borderId="0"/>
    <xf numFmtId="0" fontId="13" fillId="0" borderId="0"/>
  </cellStyleXfs>
  <cellXfs count="75">
    <xf numFmtId="0" fontId="0" fillId="0" borderId="0" xfId="0">
      <alignment vertical="center"/>
    </xf>
    <xf numFmtId="0" fontId="1" fillId="0" borderId="0" xfId="106" applyFont="1">
      <alignment vertical="center"/>
    </xf>
    <xf numFmtId="0" fontId="0" fillId="0" borderId="0" xfId="106" applyAlignment="1">
      <alignment horizontal="center" vertical="center"/>
    </xf>
    <xf numFmtId="0" fontId="2" fillId="0" borderId="0" xfId="106" applyFont="1" applyAlignment="1">
      <alignment horizontal="center" vertical="center"/>
    </xf>
    <xf numFmtId="0" fontId="0" fillId="0" borderId="0" xfId="106">
      <alignment vertical="center"/>
    </xf>
    <xf numFmtId="0" fontId="3" fillId="0" borderId="0" xfId="106" applyFont="1">
      <alignment vertical="center"/>
    </xf>
    <xf numFmtId="0" fontId="4" fillId="0" borderId="1" xfId="106" applyFont="1" applyBorder="1" applyAlignment="1">
      <alignment horizontal="center" vertical="center"/>
    </xf>
    <xf numFmtId="0" fontId="4" fillId="0" borderId="2" xfId="106" applyFont="1" applyBorder="1" applyAlignment="1">
      <alignment horizontal="center" vertical="center"/>
    </xf>
    <xf numFmtId="0" fontId="4" fillId="0" borderId="0" xfId="106" applyFont="1" applyAlignment="1">
      <alignment horizontal="center" vertical="center"/>
    </xf>
    <xf numFmtId="0" fontId="0" fillId="0" borderId="0" xfId="106" applyAlignment="1">
      <alignment vertical="center" wrapText="1"/>
    </xf>
    <xf numFmtId="0" fontId="5" fillId="2" borderId="3" xfId="69" applyFont="1" applyFill="1" applyBorder="1" applyAlignment="1">
      <alignment horizontal="center" vertical="center" wrapText="1"/>
    </xf>
    <xf numFmtId="0" fontId="6" fillId="0" borderId="3" xfId="69" applyFont="1" applyBorder="1" applyAlignment="1">
      <alignment horizontal="center" vertical="center" wrapText="1"/>
    </xf>
    <xf numFmtId="0" fontId="7" fillId="2" borderId="4" xfId="74" applyFont="1" applyFill="1" applyBorder="1" applyAlignment="1">
      <alignment horizontal="center" vertical="center" wrapText="1"/>
    </xf>
    <xf numFmtId="0" fontId="8" fillId="0" borderId="5" xfId="74" applyFont="1" applyBorder="1" applyAlignment="1">
      <alignment horizontal="left" vertical="center" wrapText="1"/>
    </xf>
    <xf numFmtId="0" fontId="7" fillId="2" borderId="5" xfId="74" applyFont="1" applyFill="1" applyBorder="1" applyAlignment="1">
      <alignment horizontal="center" vertical="center" wrapText="1"/>
    </xf>
    <xf numFmtId="0" fontId="7" fillId="0" borderId="3" xfId="106" applyFont="1" applyBorder="1" applyAlignment="1">
      <alignment horizontal="center" vertical="center" wrapText="1"/>
    </xf>
    <xf numFmtId="0" fontId="7" fillId="0" borderId="3" xfId="106" applyFont="1" applyBorder="1" applyAlignment="1">
      <alignment horizontal="left" vertical="center" wrapText="1"/>
    </xf>
    <xf numFmtId="0" fontId="2" fillId="0" borderId="3" xfId="106" applyFont="1" applyBorder="1">
      <alignment vertical="center"/>
    </xf>
    <xf numFmtId="0" fontId="0" fillId="0" borderId="0" xfId="106" applyNumberFormat="1">
      <alignment vertical="center"/>
    </xf>
    <xf numFmtId="0" fontId="3" fillId="0" borderId="0" xfId="106" applyNumberFormat="1" applyFont="1">
      <alignment vertical="center"/>
    </xf>
    <xf numFmtId="0" fontId="7" fillId="0" borderId="3" xfId="106" applyFont="1" applyBorder="1" applyAlignment="1">
      <alignment vertical="center" wrapText="1"/>
    </xf>
    <xf numFmtId="0" fontId="7" fillId="2" borderId="6" xfId="74" applyFont="1" applyFill="1" applyBorder="1" applyAlignment="1">
      <alignment horizontal="center" vertical="center" wrapText="1"/>
    </xf>
    <xf numFmtId="0" fontId="8" fillId="0" borderId="7" xfId="74" applyFont="1" applyBorder="1" applyAlignment="1">
      <alignment horizontal="left" vertical="center" wrapText="1"/>
    </xf>
    <xf numFmtId="0" fontId="7" fillId="2" borderId="7" xfId="74" applyFont="1" applyFill="1" applyBorder="1" applyAlignment="1">
      <alignment horizontal="center" vertical="center" wrapText="1"/>
    </xf>
    <xf numFmtId="0" fontId="7" fillId="2" borderId="3" xfId="74" applyFont="1" applyFill="1" applyBorder="1" applyAlignment="1">
      <alignment horizontal="center" vertical="center" wrapText="1"/>
    </xf>
    <xf numFmtId="0" fontId="8" fillId="0" borderId="3" xfId="74" applyFont="1" applyBorder="1" applyAlignment="1">
      <alignment horizontal="left" vertical="center" wrapText="1"/>
    </xf>
    <xf numFmtId="0" fontId="7" fillId="2" borderId="3" xfId="76" applyFont="1" applyFill="1" applyBorder="1" applyAlignment="1">
      <alignment horizontal="center" vertical="center" wrapText="1"/>
    </xf>
    <xf numFmtId="0" fontId="8" fillId="0" borderId="3" xfId="76" applyFont="1" applyBorder="1" applyAlignment="1">
      <alignment horizontal="left" vertical="center" wrapText="1"/>
    </xf>
    <xf numFmtId="176" fontId="0" fillId="0" borderId="0" xfId="106" applyNumberFormat="1">
      <alignment vertical="center"/>
    </xf>
    <xf numFmtId="176" fontId="3" fillId="0" borderId="0" xfId="106" applyNumberFormat="1" applyFont="1">
      <alignment vertical="center"/>
    </xf>
    <xf numFmtId="177" fontId="0" fillId="0" borderId="0" xfId="106" applyNumberFormat="1">
      <alignment vertical="center"/>
    </xf>
    <xf numFmtId="177" fontId="3" fillId="0" borderId="0" xfId="106" applyNumberFormat="1" applyFont="1">
      <alignment vertical="center"/>
    </xf>
    <xf numFmtId="0" fontId="7" fillId="2" borderId="3" xfId="71" applyFont="1" applyFill="1" applyBorder="1" applyAlignment="1">
      <alignment horizontal="center" vertical="center" wrapText="1"/>
    </xf>
    <xf numFmtId="0" fontId="8" fillId="0" borderId="3" xfId="71" applyFont="1" applyBorder="1" applyAlignment="1">
      <alignment horizontal="left" vertical="center" wrapText="1"/>
    </xf>
    <xf numFmtId="177" fontId="2" fillId="0" borderId="0" xfId="106" applyNumberFormat="1" applyFont="1">
      <alignment vertical="center"/>
    </xf>
    <xf numFmtId="177" fontId="1" fillId="0" borderId="0" xfId="106" applyNumberFormat="1" applyFont="1">
      <alignment vertical="center"/>
    </xf>
    <xf numFmtId="0" fontId="7" fillId="2" borderId="3" xfId="30" applyFont="1" applyFill="1" applyBorder="1" applyAlignment="1">
      <alignment horizontal="center" vertical="center" wrapText="1"/>
    </xf>
    <xf numFmtId="0" fontId="8" fillId="0" borderId="3" xfId="30" applyFont="1" applyBorder="1" applyAlignment="1">
      <alignment horizontal="left" vertical="center" wrapText="1"/>
    </xf>
    <xf numFmtId="0" fontId="2" fillId="0" borderId="0" xfId="106" applyNumberFormat="1" applyFont="1">
      <alignment vertical="center"/>
    </xf>
    <xf numFmtId="0" fontId="1" fillId="0" borderId="0" xfId="106" applyNumberFormat="1" applyFont="1">
      <alignment vertical="center"/>
    </xf>
    <xf numFmtId="0" fontId="7" fillId="0" borderId="3" xfId="30" applyFont="1" applyBorder="1" applyAlignment="1">
      <alignment horizontal="center" vertical="center" wrapText="1"/>
    </xf>
    <xf numFmtId="0" fontId="7" fillId="2" borderId="3" xfId="73" applyFont="1" applyFill="1" applyBorder="1" applyAlignment="1">
      <alignment horizontal="center" vertical="center" wrapText="1"/>
    </xf>
    <xf numFmtId="0" fontId="8" fillId="0" borderId="3" xfId="73" applyFont="1" applyBorder="1" applyAlignment="1">
      <alignment horizontal="left" vertical="center" wrapText="1"/>
    </xf>
    <xf numFmtId="0" fontId="9" fillId="0" borderId="3" xfId="0" applyFont="1" applyFill="1" applyBorder="1" applyAlignment="1">
      <alignment horizontal="left" vertical="center" wrapText="1"/>
    </xf>
    <xf numFmtId="0" fontId="9" fillId="0" borderId="3" xfId="0" applyFont="1" applyFill="1" applyBorder="1" applyAlignment="1">
      <alignment horizontal="left" vertical="center" wrapText="1" shrinkToFit="1"/>
    </xf>
    <xf numFmtId="0" fontId="10" fillId="2" borderId="3" xfId="73" applyFont="1" applyFill="1" applyBorder="1" applyAlignment="1">
      <alignment horizontal="center" vertical="center" wrapText="1"/>
    </xf>
    <xf numFmtId="0" fontId="7" fillId="2" borderId="3" xfId="75" applyFont="1" applyFill="1" applyBorder="1" applyAlignment="1">
      <alignment horizontal="center" vertical="center" wrapText="1"/>
    </xf>
    <xf numFmtId="0" fontId="8" fillId="0" borderId="3" xfId="75" applyFont="1" applyBorder="1" applyAlignment="1">
      <alignment horizontal="left" vertical="center" wrapText="1"/>
    </xf>
    <xf numFmtId="0" fontId="7" fillId="2" borderId="3" xfId="77" applyFont="1" applyFill="1" applyBorder="1" applyAlignment="1">
      <alignment horizontal="center" vertical="center" wrapText="1"/>
    </xf>
    <xf numFmtId="0" fontId="8" fillId="0" borderId="3" xfId="77" applyFont="1" applyBorder="1" applyAlignment="1">
      <alignment horizontal="left" vertical="center" wrapText="1"/>
    </xf>
    <xf numFmtId="0" fontId="2" fillId="0" borderId="3" xfId="106" applyFont="1" applyBorder="1" applyAlignment="1">
      <alignment horizontal="center" vertical="center" wrapText="1"/>
    </xf>
    <xf numFmtId="0" fontId="1" fillId="0" borderId="3" xfId="106" applyFont="1" applyBorder="1" applyAlignment="1">
      <alignment vertical="center" wrapText="1"/>
    </xf>
    <xf numFmtId="0" fontId="2" fillId="0" borderId="3" xfId="106" applyFont="1" applyBorder="1" applyAlignment="1">
      <alignment horizontal="center" vertical="center"/>
    </xf>
    <xf numFmtId="0" fontId="0" fillId="0" borderId="3" xfId="106" applyBorder="1">
      <alignment vertical="center"/>
    </xf>
    <xf numFmtId="0" fontId="7" fillId="2" borderId="3" xfId="79" applyFont="1" applyFill="1" applyBorder="1" applyAlignment="1">
      <alignment horizontal="center" vertical="center" wrapText="1"/>
    </xf>
    <xf numFmtId="0" fontId="8" fillId="0" borderId="3" xfId="79" applyFont="1" applyBorder="1" applyAlignment="1">
      <alignment horizontal="left" vertical="center" wrapText="1"/>
    </xf>
    <xf numFmtId="0" fontId="1" fillId="0" borderId="3" xfId="106" applyFont="1" applyBorder="1">
      <alignment vertical="center"/>
    </xf>
    <xf numFmtId="0" fontId="7" fillId="2" borderId="3" xfId="83" applyFont="1" applyFill="1" applyBorder="1" applyAlignment="1">
      <alignment horizontal="center" vertical="center" wrapText="1"/>
    </xf>
    <xf numFmtId="0" fontId="8" fillId="0" borderId="3" xfId="83" applyFont="1" applyBorder="1" applyAlignment="1">
      <alignment horizontal="left" vertical="center" wrapText="1"/>
    </xf>
    <xf numFmtId="0" fontId="10" fillId="2" borderId="3" xfId="83" applyFont="1" applyFill="1" applyBorder="1" applyAlignment="1">
      <alignment horizontal="center" vertical="center" wrapText="1"/>
    </xf>
    <xf numFmtId="0" fontId="11" fillId="0" borderId="3" xfId="83" applyFont="1" applyFill="1" applyBorder="1" applyAlignment="1">
      <alignment horizontal="left" vertical="center" wrapText="1"/>
    </xf>
    <xf numFmtId="0" fontId="10" fillId="2" borderId="3" xfId="83" applyFont="1" applyFill="1" applyBorder="1" applyAlignment="1">
      <alignment horizontal="left" vertical="center" wrapText="1"/>
    </xf>
    <xf numFmtId="0" fontId="11" fillId="0" borderId="8" xfId="85" applyFont="1" applyFill="1" applyBorder="1" applyAlignment="1">
      <alignment horizontal="left" vertical="center" wrapText="1"/>
    </xf>
    <xf numFmtId="0" fontId="7" fillId="2" borderId="3" xfId="85" applyFont="1" applyFill="1" applyBorder="1" applyAlignment="1">
      <alignment horizontal="center" vertical="center" wrapText="1"/>
    </xf>
    <xf numFmtId="0" fontId="8" fillId="0" borderId="3" xfId="85" applyFont="1" applyBorder="1" applyAlignment="1">
      <alignment horizontal="left" vertical="center" wrapText="1"/>
    </xf>
    <xf numFmtId="0" fontId="8" fillId="3" borderId="3" xfId="85" applyFont="1" applyFill="1" applyBorder="1" applyAlignment="1">
      <alignment horizontal="left" vertical="center" wrapText="1"/>
    </xf>
    <xf numFmtId="0" fontId="2" fillId="0" borderId="8" xfId="106" applyFont="1" applyBorder="1" applyAlignment="1">
      <alignment horizontal="center" vertical="center"/>
    </xf>
    <xf numFmtId="0" fontId="7" fillId="2" borderId="3" xfId="4" applyFont="1" applyFill="1" applyBorder="1" applyAlignment="1">
      <alignment horizontal="center" vertical="center" wrapText="1"/>
    </xf>
    <xf numFmtId="0" fontId="2" fillId="0" borderId="0" xfId="106" applyFont="1">
      <alignment vertical="center"/>
    </xf>
    <xf numFmtId="0" fontId="2" fillId="0" borderId="9" xfId="106" applyFont="1" applyBorder="1" applyAlignment="1">
      <alignment horizontal="center" vertical="center"/>
    </xf>
    <xf numFmtId="0" fontId="12" fillId="0" borderId="3" xfId="106" applyFont="1" applyFill="1" applyBorder="1" applyAlignment="1">
      <alignment horizontal="center" vertical="center"/>
    </xf>
    <xf numFmtId="0" fontId="11" fillId="0" borderId="3" xfId="74" applyFont="1" applyFill="1" applyBorder="1" applyAlignment="1">
      <alignment horizontal="left" vertical="center" wrapText="1"/>
    </xf>
    <xf numFmtId="0" fontId="9" fillId="0" borderId="3" xfId="0" applyFont="1" applyFill="1" applyBorder="1" applyAlignment="1">
      <alignment horizontal="center" vertical="top" wrapText="1"/>
    </xf>
    <xf numFmtId="0" fontId="11" fillId="0" borderId="3" xfId="77" applyFont="1" applyFill="1" applyBorder="1" applyAlignment="1">
      <alignment horizontal="left" vertical="center" wrapText="1"/>
    </xf>
    <xf numFmtId="0" fontId="10" fillId="0" borderId="3" xfId="106" applyFont="1" applyFill="1" applyBorder="1" applyAlignment="1">
      <alignment horizontal="center" vertical="center" wrapText="1"/>
    </xf>
  </cellXfs>
  <cellStyles count="111">
    <cellStyle name="常规" xfId="0" builtinId="0"/>
    <cellStyle name="货币[0]" xfId="1" builtinId="7"/>
    <cellStyle name="货币" xfId="2" builtinId="4"/>
    <cellStyle name="常规 44" xfId="3"/>
    <cellStyle name="常规 39" xfId="4"/>
    <cellStyle name="20% - 强调文字颜色 3" xfId="5" builtinId="38"/>
    <cellStyle name="输入" xfId="6" builtinId="20"/>
    <cellStyle name="千位分隔[0]" xfId="7" builtinId="6"/>
    <cellStyle name="40% - 强调文字颜色 3" xfId="8" builtinId="39"/>
    <cellStyle name="差" xfId="9" builtinId="27"/>
    <cellStyle name="千位分隔" xfId="10" builtinId="3"/>
    <cellStyle name="60% - 强调文字颜色 3" xfId="11" builtinId="40"/>
    <cellStyle name="超链接" xfId="12" builtinId="8"/>
    <cellStyle name="百分比" xfId="13" builtinId="5"/>
    <cellStyle name="已访问的超链接" xfId="14" builtinId="9"/>
    <cellStyle name="注释" xfId="15" builtinId="10"/>
    <cellStyle name="常规 6" xfId="16"/>
    <cellStyle name="60% - 强调文字颜色 2" xfId="17" builtinId="36"/>
    <cellStyle name="标题 4" xfId="18" builtinId="19"/>
    <cellStyle name="警告文本" xfId="19" builtinId="11"/>
    <cellStyle name="标题" xfId="20" builtinId="15"/>
    <cellStyle name="常规 12" xfId="21"/>
    <cellStyle name="解释性文本" xfId="22" builtinId="53"/>
    <cellStyle name="标题 1" xfId="23" builtinId="16"/>
    <cellStyle name="标题 2" xfId="24" builtinId="17"/>
    <cellStyle name="60% - 强调文字颜色 1" xfId="25" builtinId="32"/>
    <cellStyle name="标题 3" xfId="26" builtinId="18"/>
    <cellStyle name="60% - 强调文字颜色 4" xfId="27" builtinId="44"/>
    <cellStyle name="输出" xfId="28" builtinId="21"/>
    <cellStyle name="计算" xfId="29" builtinId="22"/>
    <cellStyle name="常规 31" xfId="30"/>
    <cellStyle name="常规 26" xfId="31"/>
    <cellStyle name="检查单元格" xfId="32" builtinId="23"/>
    <cellStyle name="20% - 强调文字颜色 6" xfId="33" builtinId="50"/>
    <cellStyle name="强调文字颜色 2" xfId="34" builtinId="33"/>
    <cellStyle name="链接单元格" xfId="35" builtinId="24"/>
    <cellStyle name="汇总" xfId="36" builtinId="25"/>
    <cellStyle name="好" xfId="37" builtinId="26"/>
    <cellStyle name="常规 16" xfId="38"/>
    <cellStyle name="常规 21" xfId="39"/>
    <cellStyle name="适中" xfId="40" builtinId="28"/>
    <cellStyle name="20% - 强调文字颜色 5" xfId="41" builtinId="46"/>
    <cellStyle name="强调文字颜色 1" xfId="42" builtinId="29"/>
    <cellStyle name="20% - 强调文字颜色 1" xfId="43" builtinId="30"/>
    <cellStyle name="40% - 强调文字颜色 1" xfId="44" builtinId="31"/>
    <cellStyle name="20% - 强调文字颜色 2" xfId="45" builtinId="34"/>
    <cellStyle name="40% - 强调文字颜色 2" xfId="46" builtinId="35"/>
    <cellStyle name="强调文字颜色 3" xfId="47" builtinId="37"/>
    <cellStyle name="强调文字颜色 4" xfId="48" builtinId="41"/>
    <cellStyle name="20% - 强调文字颜色 4" xfId="49" builtinId="42"/>
    <cellStyle name="40% - 强调文字颜色 4" xfId="50" builtinId="43"/>
    <cellStyle name="强调文字颜色 5" xfId="51" builtinId="45"/>
    <cellStyle name="40% - 强调文字颜色 5" xfId="52" builtinId="47"/>
    <cellStyle name="60% - 强调文字颜色 5" xfId="53" builtinId="48"/>
    <cellStyle name="强调文字颜色 6" xfId="54" builtinId="49"/>
    <cellStyle name="常规 10" xfId="55"/>
    <cellStyle name="40% - 强调文字颜色 6" xfId="56" builtinId="51"/>
    <cellStyle name="60% - 强调文字颜色 6" xfId="57" builtinId="52"/>
    <cellStyle name="常规 11" xfId="58"/>
    <cellStyle name="常规 13" xfId="59"/>
    <cellStyle name="常规 14" xfId="60"/>
    <cellStyle name="常规 15" xfId="61"/>
    <cellStyle name="常规 20" xfId="62"/>
    <cellStyle name="常规 22" xfId="63"/>
    <cellStyle name="常规 17" xfId="64"/>
    <cellStyle name="常规 23" xfId="65"/>
    <cellStyle name="常规 18" xfId="66"/>
    <cellStyle name="常规 19" xfId="67"/>
    <cellStyle name="常规 24" xfId="68"/>
    <cellStyle name="常规 2" xfId="69"/>
    <cellStyle name="常规 25" xfId="70"/>
    <cellStyle name="常规 30" xfId="71"/>
    <cellStyle name="常规 27" xfId="72"/>
    <cellStyle name="常规 32" xfId="73"/>
    <cellStyle name="常规 28" xfId="74"/>
    <cellStyle name="常规 33" xfId="75"/>
    <cellStyle name="常规 29" xfId="76"/>
    <cellStyle name="常规 34" xfId="77"/>
    <cellStyle name="常规 3" xfId="78"/>
    <cellStyle name="常规 35" xfId="79"/>
    <cellStyle name="常规 40" xfId="80"/>
    <cellStyle name="常规 36" xfId="81"/>
    <cellStyle name="常规 41" xfId="82"/>
    <cellStyle name="常规 37" xfId="83"/>
    <cellStyle name="常规 42" xfId="84"/>
    <cellStyle name="常规 38" xfId="85"/>
    <cellStyle name="常规 43" xfId="86"/>
    <cellStyle name="常规 4" xfId="87"/>
    <cellStyle name="常规 45" xfId="88"/>
    <cellStyle name="常规 50" xfId="89"/>
    <cellStyle name="常规 46" xfId="90"/>
    <cellStyle name="常规 51" xfId="91"/>
    <cellStyle name="常规 47" xfId="92"/>
    <cellStyle name="常规 52" xfId="93"/>
    <cellStyle name="常规 48" xfId="94"/>
    <cellStyle name="常规 53" xfId="95"/>
    <cellStyle name="常规 49" xfId="96"/>
    <cellStyle name="常规 54" xfId="97"/>
    <cellStyle name="常规 5" xfId="98"/>
    <cellStyle name="常规 55" xfId="99"/>
    <cellStyle name="常规 60" xfId="100"/>
    <cellStyle name="常规 56" xfId="101"/>
    <cellStyle name="常规 61" xfId="102"/>
    <cellStyle name="常规 57" xfId="103"/>
    <cellStyle name="常规 62" xfId="104"/>
    <cellStyle name="常规 58" xfId="105"/>
    <cellStyle name="常规 63" xfId="106"/>
    <cellStyle name="常规 59" xfId="107"/>
    <cellStyle name="常规 7" xfId="108"/>
    <cellStyle name="常规 8" xfId="109"/>
    <cellStyle name="常规 9" xfId="110"/>
  </cellStyle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4" Type="http://schemas.openxmlformats.org/officeDocument/2006/relationships/sharedStrings" Target="sharedStrings.xml"/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>
    <tabColor rgb="FF00B0F0"/>
  </sheetPr>
  <dimension ref="A1:O108"/>
  <sheetViews>
    <sheetView tabSelected="1" workbookViewId="0">
      <pane xSplit="6" ySplit="2" topLeftCell="G21" activePane="bottomRight" state="frozen"/>
      <selection/>
      <selection pane="topRight"/>
      <selection pane="bottomLeft"/>
      <selection pane="bottomRight" activeCell="K40" sqref="K40"/>
    </sheetView>
  </sheetViews>
  <sheetFormatPr defaultColWidth="9" defaultRowHeight="13.5"/>
  <cols>
    <col min="1" max="1" width="9" style="2" customWidth="1"/>
    <col min="2" max="2" width="21.25" style="1" customWidth="1"/>
    <col min="3" max="3" width="6.125" style="3" customWidth="1"/>
    <col min="4" max="4" width="8.625" style="2" customWidth="1"/>
    <col min="5" max="6" width="8.625" style="4" customWidth="1"/>
    <col min="7" max="7" width="14.125" style="4" customWidth="1"/>
    <col min="8" max="8" width="12.625" style="5" customWidth="1"/>
    <col min="9" max="9" width="13.5" style="5" customWidth="1"/>
    <col min="10" max="10" width="16.875" style="5" customWidth="1"/>
    <col min="11" max="11" width="15" style="5" customWidth="1"/>
    <col min="12" max="12" width="14.75" style="5" customWidth="1"/>
    <col min="13" max="13" width="17.5" style="5" customWidth="1"/>
    <col min="14" max="14" width="14.25" style="5" customWidth="1"/>
    <col min="15" max="15" width="14" style="5" customWidth="1"/>
    <col min="16" max="228" width="9" style="5"/>
    <col min="229" max="229" width="21.25" style="5" customWidth="1"/>
    <col min="230" max="230" width="6.125" style="5" customWidth="1"/>
    <col min="231" max="231" width="8.625" style="5" customWidth="1"/>
    <col min="232" max="233" width="9" style="5" hidden="1" customWidth="1"/>
    <col min="234" max="234" width="6.375" style="5" customWidth="1"/>
    <col min="235" max="235" width="9" style="5"/>
    <col min="236" max="236" width="27.5" style="5" customWidth="1"/>
    <col min="237" max="237" width="8.875" style="5" customWidth="1"/>
    <col min="238" max="238" width="9" style="5"/>
    <col min="239" max="239" width="27.5" style="5" customWidth="1"/>
    <col min="240" max="241" width="9" style="5"/>
    <col min="242" max="242" width="27.5" style="5" customWidth="1"/>
    <col min="243" max="244" width="9" style="5"/>
    <col min="245" max="245" width="27.5" style="5" customWidth="1"/>
    <col min="246" max="247" width="9" style="5"/>
    <col min="248" max="248" width="27.5" style="5" customWidth="1"/>
    <col min="249" max="250" width="9" style="5"/>
    <col min="251" max="251" width="27.5" style="5" customWidth="1"/>
    <col min="252" max="253" width="9" style="5"/>
    <col min="254" max="254" width="27.5" style="5" customWidth="1"/>
    <col min="255" max="256" width="9" style="5"/>
    <col min="257" max="257" width="27.5" style="5" customWidth="1"/>
    <col min="258" max="259" width="9" style="5"/>
    <col min="260" max="260" width="27.5" style="5" customWidth="1"/>
    <col min="261" max="261" width="9" style="5"/>
    <col min="262" max="262" width="9.625" style="5" customWidth="1"/>
    <col min="263" max="263" width="10.5" style="5" customWidth="1"/>
    <col min="264" max="484" width="9" style="5"/>
    <col min="485" max="485" width="21.25" style="5" customWidth="1"/>
    <col min="486" max="486" width="6.125" style="5" customWidth="1"/>
    <col min="487" max="487" width="8.625" style="5" customWidth="1"/>
    <col min="488" max="489" width="9" style="5" hidden="1" customWidth="1"/>
    <col min="490" max="490" width="6.375" style="5" customWidth="1"/>
    <col min="491" max="491" width="9" style="5"/>
    <col min="492" max="492" width="27.5" style="5" customWidth="1"/>
    <col min="493" max="493" width="8.875" style="5" customWidth="1"/>
    <col min="494" max="494" width="9" style="5"/>
    <col min="495" max="495" width="27.5" style="5" customWidth="1"/>
    <col min="496" max="497" width="9" style="5"/>
    <col min="498" max="498" width="27.5" style="5" customWidth="1"/>
    <col min="499" max="500" width="9" style="5"/>
    <col min="501" max="501" width="27.5" style="5" customWidth="1"/>
    <col min="502" max="503" width="9" style="5"/>
    <col min="504" max="504" width="27.5" style="5" customWidth="1"/>
    <col min="505" max="506" width="9" style="5"/>
    <col min="507" max="507" width="27.5" style="5" customWidth="1"/>
    <col min="508" max="509" width="9" style="5"/>
    <col min="510" max="510" width="27.5" style="5" customWidth="1"/>
    <col min="511" max="512" width="9" style="5"/>
    <col min="513" max="513" width="27.5" style="5" customWidth="1"/>
    <col min="514" max="515" width="9" style="5"/>
    <col min="516" max="516" width="27.5" style="5" customWidth="1"/>
    <col min="517" max="517" width="9" style="5"/>
    <col min="518" max="518" width="9.625" style="5" customWidth="1"/>
    <col min="519" max="519" width="10.5" style="5" customWidth="1"/>
    <col min="520" max="740" width="9" style="5"/>
    <col min="741" max="741" width="21.25" style="5" customWidth="1"/>
    <col min="742" max="742" width="6.125" style="5" customWidth="1"/>
    <col min="743" max="743" width="8.625" style="5" customWidth="1"/>
    <col min="744" max="745" width="9" style="5" hidden="1" customWidth="1"/>
    <col min="746" max="746" width="6.375" style="5" customWidth="1"/>
    <col min="747" max="747" width="9" style="5"/>
    <col min="748" max="748" width="27.5" style="5" customWidth="1"/>
    <col min="749" max="749" width="8.875" style="5" customWidth="1"/>
    <col min="750" max="750" width="9" style="5"/>
    <col min="751" max="751" width="27.5" style="5" customWidth="1"/>
    <col min="752" max="753" width="9" style="5"/>
    <col min="754" max="754" width="27.5" style="5" customWidth="1"/>
    <col min="755" max="756" width="9" style="5"/>
    <col min="757" max="757" width="27.5" style="5" customWidth="1"/>
    <col min="758" max="759" width="9" style="5"/>
    <col min="760" max="760" width="27.5" style="5" customWidth="1"/>
    <col min="761" max="762" width="9" style="5"/>
    <col min="763" max="763" width="27.5" style="5" customWidth="1"/>
    <col min="764" max="765" width="9" style="5"/>
    <col min="766" max="766" width="27.5" style="5" customWidth="1"/>
    <col min="767" max="768" width="9" style="5"/>
    <col min="769" max="769" width="27.5" style="5" customWidth="1"/>
    <col min="770" max="771" width="9" style="5"/>
    <col min="772" max="772" width="27.5" style="5" customWidth="1"/>
    <col min="773" max="773" width="9" style="5"/>
    <col min="774" max="774" width="9.625" style="5" customWidth="1"/>
    <col min="775" max="775" width="10.5" style="5" customWidth="1"/>
    <col min="776" max="996" width="9" style="5"/>
    <col min="997" max="997" width="21.25" style="5" customWidth="1"/>
    <col min="998" max="998" width="6.125" style="5" customWidth="1"/>
    <col min="999" max="999" width="8.625" style="5" customWidth="1"/>
    <col min="1000" max="1001" width="9" style="5" hidden="1" customWidth="1"/>
    <col min="1002" max="1002" width="6.375" style="5" customWidth="1"/>
    <col min="1003" max="1003" width="9" style="5"/>
    <col min="1004" max="1004" width="27.5" style="5" customWidth="1"/>
    <col min="1005" max="1005" width="8.875" style="5" customWidth="1"/>
    <col min="1006" max="1006" width="9" style="5"/>
    <col min="1007" max="1007" width="27.5" style="5" customWidth="1"/>
    <col min="1008" max="1009" width="9" style="5"/>
    <col min="1010" max="1010" width="27.5" style="5" customWidth="1"/>
    <col min="1011" max="1012" width="9" style="5"/>
    <col min="1013" max="1013" width="27.5" style="5" customWidth="1"/>
    <col min="1014" max="1015" width="9" style="5"/>
    <col min="1016" max="1016" width="27.5" style="5" customWidth="1"/>
    <col min="1017" max="1018" width="9" style="5"/>
    <col min="1019" max="1019" width="27.5" style="5" customWidth="1"/>
    <col min="1020" max="1021" width="9" style="5"/>
    <col min="1022" max="1022" width="27.5" style="5" customWidth="1"/>
    <col min="1023" max="1024" width="9" style="5"/>
    <col min="1025" max="1025" width="27.5" style="5" customWidth="1"/>
    <col min="1026" max="1027" width="9" style="5"/>
    <col min="1028" max="1028" width="27.5" style="5" customWidth="1"/>
    <col min="1029" max="1029" width="9" style="5"/>
    <col min="1030" max="1030" width="9.625" style="5" customWidth="1"/>
    <col min="1031" max="1031" width="10.5" style="5" customWidth="1"/>
    <col min="1032" max="1252" width="9" style="5"/>
    <col min="1253" max="1253" width="21.25" style="5" customWidth="1"/>
    <col min="1254" max="1254" width="6.125" style="5" customWidth="1"/>
    <col min="1255" max="1255" width="8.625" style="5" customWidth="1"/>
    <col min="1256" max="1257" width="9" style="5" hidden="1" customWidth="1"/>
    <col min="1258" max="1258" width="6.375" style="5" customWidth="1"/>
    <col min="1259" max="1259" width="9" style="5"/>
    <col min="1260" max="1260" width="27.5" style="5" customWidth="1"/>
    <col min="1261" max="1261" width="8.875" style="5" customWidth="1"/>
    <col min="1262" max="1262" width="9" style="5"/>
    <col min="1263" max="1263" width="27.5" style="5" customWidth="1"/>
    <col min="1264" max="1265" width="9" style="5"/>
    <col min="1266" max="1266" width="27.5" style="5" customWidth="1"/>
    <col min="1267" max="1268" width="9" style="5"/>
    <col min="1269" max="1269" width="27.5" style="5" customWidth="1"/>
    <col min="1270" max="1271" width="9" style="5"/>
    <col min="1272" max="1272" width="27.5" style="5" customWidth="1"/>
    <col min="1273" max="1274" width="9" style="5"/>
    <col min="1275" max="1275" width="27.5" style="5" customWidth="1"/>
    <col min="1276" max="1277" width="9" style="5"/>
    <col min="1278" max="1278" width="27.5" style="5" customWidth="1"/>
    <col min="1279" max="1280" width="9" style="5"/>
    <col min="1281" max="1281" width="27.5" style="5" customWidth="1"/>
    <col min="1282" max="1283" width="9" style="5"/>
    <col min="1284" max="1284" width="27.5" style="5" customWidth="1"/>
    <col min="1285" max="1285" width="9" style="5"/>
    <col min="1286" max="1286" width="9.625" style="5" customWidth="1"/>
    <col min="1287" max="1287" width="10.5" style="5" customWidth="1"/>
    <col min="1288" max="1508" width="9" style="5"/>
    <col min="1509" max="1509" width="21.25" style="5" customWidth="1"/>
    <col min="1510" max="1510" width="6.125" style="5" customWidth="1"/>
    <col min="1511" max="1511" width="8.625" style="5" customWidth="1"/>
    <col min="1512" max="1513" width="9" style="5" hidden="1" customWidth="1"/>
    <col min="1514" max="1514" width="6.375" style="5" customWidth="1"/>
    <col min="1515" max="1515" width="9" style="5"/>
    <col min="1516" max="1516" width="27.5" style="5" customWidth="1"/>
    <col min="1517" max="1517" width="8.875" style="5" customWidth="1"/>
    <col min="1518" max="1518" width="9" style="5"/>
    <col min="1519" max="1519" width="27.5" style="5" customWidth="1"/>
    <col min="1520" max="1521" width="9" style="5"/>
    <col min="1522" max="1522" width="27.5" style="5" customWidth="1"/>
    <col min="1523" max="1524" width="9" style="5"/>
    <col min="1525" max="1525" width="27.5" style="5" customWidth="1"/>
    <col min="1526" max="1527" width="9" style="5"/>
    <col min="1528" max="1528" width="27.5" style="5" customWidth="1"/>
    <col min="1529" max="1530" width="9" style="5"/>
    <col min="1531" max="1531" width="27.5" style="5" customWidth="1"/>
    <col min="1532" max="1533" width="9" style="5"/>
    <col min="1534" max="1534" width="27.5" style="5" customWidth="1"/>
    <col min="1535" max="1536" width="9" style="5"/>
    <col min="1537" max="1537" width="27.5" style="5" customWidth="1"/>
    <col min="1538" max="1539" width="9" style="5"/>
    <col min="1540" max="1540" width="27.5" style="5" customWidth="1"/>
    <col min="1541" max="1541" width="9" style="5"/>
    <col min="1542" max="1542" width="9.625" style="5" customWidth="1"/>
    <col min="1543" max="1543" width="10.5" style="5" customWidth="1"/>
    <col min="1544" max="1764" width="9" style="5"/>
    <col min="1765" max="1765" width="21.25" style="5" customWidth="1"/>
    <col min="1766" max="1766" width="6.125" style="5" customWidth="1"/>
    <col min="1767" max="1767" width="8.625" style="5" customWidth="1"/>
    <col min="1768" max="1769" width="9" style="5" hidden="1" customWidth="1"/>
    <col min="1770" max="1770" width="6.375" style="5" customWidth="1"/>
    <col min="1771" max="1771" width="9" style="5"/>
    <col min="1772" max="1772" width="27.5" style="5" customWidth="1"/>
    <col min="1773" max="1773" width="8.875" style="5" customWidth="1"/>
    <col min="1774" max="1774" width="9" style="5"/>
    <col min="1775" max="1775" width="27.5" style="5" customWidth="1"/>
    <col min="1776" max="1777" width="9" style="5"/>
    <col min="1778" max="1778" width="27.5" style="5" customWidth="1"/>
    <col min="1779" max="1780" width="9" style="5"/>
    <col min="1781" max="1781" width="27.5" style="5" customWidth="1"/>
    <col min="1782" max="1783" width="9" style="5"/>
    <col min="1784" max="1784" width="27.5" style="5" customWidth="1"/>
    <col min="1785" max="1786" width="9" style="5"/>
    <col min="1787" max="1787" width="27.5" style="5" customWidth="1"/>
    <col min="1788" max="1789" width="9" style="5"/>
    <col min="1790" max="1790" width="27.5" style="5" customWidth="1"/>
    <col min="1791" max="1792" width="9" style="5"/>
    <col min="1793" max="1793" width="27.5" style="5" customWidth="1"/>
    <col min="1794" max="1795" width="9" style="5"/>
    <col min="1796" max="1796" width="27.5" style="5" customWidth="1"/>
    <col min="1797" max="1797" width="9" style="5"/>
    <col min="1798" max="1798" width="9.625" style="5" customWidth="1"/>
    <col min="1799" max="1799" width="10.5" style="5" customWidth="1"/>
    <col min="1800" max="2020" width="9" style="5"/>
    <col min="2021" max="2021" width="21.25" style="5" customWidth="1"/>
    <col min="2022" max="2022" width="6.125" style="5" customWidth="1"/>
    <col min="2023" max="2023" width="8.625" style="5" customWidth="1"/>
    <col min="2024" max="2025" width="9" style="5" hidden="1" customWidth="1"/>
    <col min="2026" max="2026" width="6.375" style="5" customWidth="1"/>
    <col min="2027" max="2027" width="9" style="5"/>
    <col min="2028" max="2028" width="27.5" style="5" customWidth="1"/>
    <col min="2029" max="2029" width="8.875" style="5" customWidth="1"/>
    <col min="2030" max="2030" width="9" style="5"/>
    <col min="2031" max="2031" width="27.5" style="5" customWidth="1"/>
    <col min="2032" max="2033" width="9" style="5"/>
    <col min="2034" max="2034" width="27.5" style="5" customWidth="1"/>
    <col min="2035" max="2036" width="9" style="5"/>
    <col min="2037" max="2037" width="27.5" style="5" customWidth="1"/>
    <col min="2038" max="2039" width="9" style="5"/>
    <col min="2040" max="2040" width="27.5" style="5" customWidth="1"/>
    <col min="2041" max="2042" width="9" style="5"/>
    <col min="2043" max="2043" width="27.5" style="5" customWidth="1"/>
    <col min="2044" max="2045" width="9" style="5"/>
    <col min="2046" max="2046" width="27.5" style="5" customWidth="1"/>
    <col min="2047" max="2048" width="9" style="5"/>
    <col min="2049" max="2049" width="27.5" style="5" customWidth="1"/>
    <col min="2050" max="2051" width="9" style="5"/>
    <col min="2052" max="2052" width="27.5" style="5" customWidth="1"/>
    <col min="2053" max="2053" width="9" style="5"/>
    <col min="2054" max="2054" width="9.625" style="5" customWidth="1"/>
    <col min="2055" max="2055" width="10.5" style="5" customWidth="1"/>
    <col min="2056" max="2276" width="9" style="5"/>
    <col min="2277" max="2277" width="21.25" style="5" customWidth="1"/>
    <col min="2278" max="2278" width="6.125" style="5" customWidth="1"/>
    <col min="2279" max="2279" width="8.625" style="5" customWidth="1"/>
    <col min="2280" max="2281" width="9" style="5" hidden="1" customWidth="1"/>
    <col min="2282" max="2282" width="6.375" style="5" customWidth="1"/>
    <col min="2283" max="2283" width="9" style="5"/>
    <col min="2284" max="2284" width="27.5" style="5" customWidth="1"/>
    <col min="2285" max="2285" width="8.875" style="5" customWidth="1"/>
    <col min="2286" max="2286" width="9" style="5"/>
    <col min="2287" max="2287" width="27.5" style="5" customWidth="1"/>
    <col min="2288" max="2289" width="9" style="5"/>
    <col min="2290" max="2290" width="27.5" style="5" customWidth="1"/>
    <col min="2291" max="2292" width="9" style="5"/>
    <col min="2293" max="2293" width="27.5" style="5" customWidth="1"/>
    <col min="2294" max="2295" width="9" style="5"/>
    <col min="2296" max="2296" width="27.5" style="5" customWidth="1"/>
    <col min="2297" max="2298" width="9" style="5"/>
    <col min="2299" max="2299" width="27.5" style="5" customWidth="1"/>
    <col min="2300" max="2301" width="9" style="5"/>
    <col min="2302" max="2302" width="27.5" style="5" customWidth="1"/>
    <col min="2303" max="2304" width="9" style="5"/>
    <col min="2305" max="2305" width="27.5" style="5" customWidth="1"/>
    <col min="2306" max="2307" width="9" style="5"/>
    <col min="2308" max="2308" width="27.5" style="5" customWidth="1"/>
    <col min="2309" max="2309" width="9" style="5"/>
    <col min="2310" max="2310" width="9.625" style="5" customWidth="1"/>
    <col min="2311" max="2311" width="10.5" style="5" customWidth="1"/>
    <col min="2312" max="2532" width="9" style="5"/>
    <col min="2533" max="2533" width="21.25" style="5" customWidth="1"/>
    <col min="2534" max="2534" width="6.125" style="5" customWidth="1"/>
    <col min="2535" max="2535" width="8.625" style="5" customWidth="1"/>
    <col min="2536" max="2537" width="9" style="5" hidden="1" customWidth="1"/>
    <col min="2538" max="2538" width="6.375" style="5" customWidth="1"/>
    <col min="2539" max="2539" width="9" style="5"/>
    <col min="2540" max="2540" width="27.5" style="5" customWidth="1"/>
    <col min="2541" max="2541" width="8.875" style="5" customWidth="1"/>
    <col min="2542" max="2542" width="9" style="5"/>
    <col min="2543" max="2543" width="27.5" style="5" customWidth="1"/>
    <col min="2544" max="2545" width="9" style="5"/>
    <col min="2546" max="2546" width="27.5" style="5" customWidth="1"/>
    <col min="2547" max="2548" width="9" style="5"/>
    <col min="2549" max="2549" width="27.5" style="5" customWidth="1"/>
    <col min="2550" max="2551" width="9" style="5"/>
    <col min="2552" max="2552" width="27.5" style="5" customWidth="1"/>
    <col min="2553" max="2554" width="9" style="5"/>
    <col min="2555" max="2555" width="27.5" style="5" customWidth="1"/>
    <col min="2556" max="2557" width="9" style="5"/>
    <col min="2558" max="2558" width="27.5" style="5" customWidth="1"/>
    <col min="2559" max="2560" width="9" style="5"/>
    <col min="2561" max="2561" width="27.5" style="5" customWidth="1"/>
    <col min="2562" max="2563" width="9" style="5"/>
    <col min="2564" max="2564" width="27.5" style="5" customWidth="1"/>
    <col min="2565" max="2565" width="9" style="5"/>
    <col min="2566" max="2566" width="9.625" style="5" customWidth="1"/>
    <col min="2567" max="2567" width="10.5" style="5" customWidth="1"/>
    <col min="2568" max="2788" width="9" style="5"/>
    <col min="2789" max="2789" width="21.25" style="5" customWidth="1"/>
    <col min="2790" max="2790" width="6.125" style="5" customWidth="1"/>
    <col min="2791" max="2791" width="8.625" style="5" customWidth="1"/>
    <col min="2792" max="2793" width="9" style="5" hidden="1" customWidth="1"/>
    <col min="2794" max="2794" width="6.375" style="5" customWidth="1"/>
    <col min="2795" max="2795" width="9" style="5"/>
    <col min="2796" max="2796" width="27.5" style="5" customWidth="1"/>
    <col min="2797" max="2797" width="8.875" style="5" customWidth="1"/>
    <col min="2798" max="2798" width="9" style="5"/>
    <col min="2799" max="2799" width="27.5" style="5" customWidth="1"/>
    <col min="2800" max="2801" width="9" style="5"/>
    <col min="2802" max="2802" width="27.5" style="5" customWidth="1"/>
    <col min="2803" max="2804" width="9" style="5"/>
    <col min="2805" max="2805" width="27.5" style="5" customWidth="1"/>
    <col min="2806" max="2807" width="9" style="5"/>
    <col min="2808" max="2808" width="27.5" style="5" customWidth="1"/>
    <col min="2809" max="2810" width="9" style="5"/>
    <col min="2811" max="2811" width="27.5" style="5" customWidth="1"/>
    <col min="2812" max="2813" width="9" style="5"/>
    <col min="2814" max="2814" width="27.5" style="5" customWidth="1"/>
    <col min="2815" max="2816" width="9" style="5"/>
    <col min="2817" max="2817" width="27.5" style="5" customWidth="1"/>
    <col min="2818" max="2819" width="9" style="5"/>
    <col min="2820" max="2820" width="27.5" style="5" customWidth="1"/>
    <col min="2821" max="2821" width="9" style="5"/>
    <col min="2822" max="2822" width="9.625" style="5" customWidth="1"/>
    <col min="2823" max="2823" width="10.5" style="5" customWidth="1"/>
    <col min="2824" max="3044" width="9" style="5"/>
    <col min="3045" max="3045" width="21.25" style="5" customWidth="1"/>
    <col min="3046" max="3046" width="6.125" style="5" customWidth="1"/>
    <col min="3047" max="3047" width="8.625" style="5" customWidth="1"/>
    <col min="3048" max="3049" width="9" style="5" hidden="1" customWidth="1"/>
    <col min="3050" max="3050" width="6.375" style="5" customWidth="1"/>
    <col min="3051" max="3051" width="9" style="5"/>
    <col min="3052" max="3052" width="27.5" style="5" customWidth="1"/>
    <col min="3053" max="3053" width="8.875" style="5" customWidth="1"/>
    <col min="3054" max="3054" width="9" style="5"/>
    <col min="3055" max="3055" width="27.5" style="5" customWidth="1"/>
    <col min="3056" max="3057" width="9" style="5"/>
    <col min="3058" max="3058" width="27.5" style="5" customWidth="1"/>
    <col min="3059" max="3060" width="9" style="5"/>
    <col min="3061" max="3061" width="27.5" style="5" customWidth="1"/>
    <col min="3062" max="3063" width="9" style="5"/>
    <col min="3064" max="3064" width="27.5" style="5" customWidth="1"/>
    <col min="3065" max="3066" width="9" style="5"/>
    <col min="3067" max="3067" width="27.5" style="5" customWidth="1"/>
    <col min="3068" max="3069" width="9" style="5"/>
    <col min="3070" max="3070" width="27.5" style="5" customWidth="1"/>
    <col min="3071" max="3072" width="9" style="5"/>
    <col min="3073" max="3073" width="27.5" style="5" customWidth="1"/>
    <col min="3074" max="3075" width="9" style="5"/>
    <col min="3076" max="3076" width="27.5" style="5" customWidth="1"/>
    <col min="3077" max="3077" width="9" style="5"/>
    <col min="3078" max="3078" width="9.625" style="5" customWidth="1"/>
    <col min="3079" max="3079" width="10.5" style="5" customWidth="1"/>
    <col min="3080" max="3300" width="9" style="5"/>
    <col min="3301" max="3301" width="21.25" style="5" customWidth="1"/>
    <col min="3302" max="3302" width="6.125" style="5" customWidth="1"/>
    <col min="3303" max="3303" width="8.625" style="5" customWidth="1"/>
    <col min="3304" max="3305" width="9" style="5" hidden="1" customWidth="1"/>
    <col min="3306" max="3306" width="6.375" style="5" customWidth="1"/>
    <col min="3307" max="3307" width="9" style="5"/>
    <col min="3308" max="3308" width="27.5" style="5" customWidth="1"/>
    <col min="3309" max="3309" width="8.875" style="5" customWidth="1"/>
    <col min="3310" max="3310" width="9" style="5"/>
    <col min="3311" max="3311" width="27.5" style="5" customWidth="1"/>
    <col min="3312" max="3313" width="9" style="5"/>
    <col min="3314" max="3314" width="27.5" style="5" customWidth="1"/>
    <col min="3315" max="3316" width="9" style="5"/>
    <col min="3317" max="3317" width="27.5" style="5" customWidth="1"/>
    <col min="3318" max="3319" width="9" style="5"/>
    <col min="3320" max="3320" width="27.5" style="5" customWidth="1"/>
    <col min="3321" max="3322" width="9" style="5"/>
    <col min="3323" max="3323" width="27.5" style="5" customWidth="1"/>
    <col min="3324" max="3325" width="9" style="5"/>
    <col min="3326" max="3326" width="27.5" style="5" customWidth="1"/>
    <col min="3327" max="3328" width="9" style="5"/>
    <col min="3329" max="3329" width="27.5" style="5" customWidth="1"/>
    <col min="3330" max="3331" width="9" style="5"/>
    <col min="3332" max="3332" width="27.5" style="5" customWidth="1"/>
    <col min="3333" max="3333" width="9" style="5"/>
    <col min="3334" max="3334" width="9.625" style="5" customWidth="1"/>
    <col min="3335" max="3335" width="10.5" style="5" customWidth="1"/>
    <col min="3336" max="3556" width="9" style="5"/>
    <col min="3557" max="3557" width="21.25" style="5" customWidth="1"/>
    <col min="3558" max="3558" width="6.125" style="5" customWidth="1"/>
    <col min="3559" max="3559" width="8.625" style="5" customWidth="1"/>
    <col min="3560" max="3561" width="9" style="5" hidden="1" customWidth="1"/>
    <col min="3562" max="3562" width="6.375" style="5" customWidth="1"/>
    <col min="3563" max="3563" width="9" style="5"/>
    <col min="3564" max="3564" width="27.5" style="5" customWidth="1"/>
    <col min="3565" max="3565" width="8.875" style="5" customWidth="1"/>
    <col min="3566" max="3566" width="9" style="5"/>
    <col min="3567" max="3567" width="27.5" style="5" customWidth="1"/>
    <col min="3568" max="3569" width="9" style="5"/>
    <col min="3570" max="3570" width="27.5" style="5" customWidth="1"/>
    <col min="3571" max="3572" width="9" style="5"/>
    <col min="3573" max="3573" width="27.5" style="5" customWidth="1"/>
    <col min="3574" max="3575" width="9" style="5"/>
    <col min="3576" max="3576" width="27.5" style="5" customWidth="1"/>
    <col min="3577" max="3578" width="9" style="5"/>
    <col min="3579" max="3579" width="27.5" style="5" customWidth="1"/>
    <col min="3580" max="3581" width="9" style="5"/>
    <col min="3582" max="3582" width="27.5" style="5" customWidth="1"/>
    <col min="3583" max="3584" width="9" style="5"/>
    <col min="3585" max="3585" width="27.5" style="5" customWidth="1"/>
    <col min="3586" max="3587" width="9" style="5"/>
    <col min="3588" max="3588" width="27.5" style="5" customWidth="1"/>
    <col min="3589" max="3589" width="9" style="5"/>
    <col min="3590" max="3590" width="9.625" style="5" customWidth="1"/>
    <col min="3591" max="3591" width="10.5" style="5" customWidth="1"/>
    <col min="3592" max="3812" width="9" style="5"/>
    <col min="3813" max="3813" width="21.25" style="5" customWidth="1"/>
    <col min="3814" max="3814" width="6.125" style="5" customWidth="1"/>
    <col min="3815" max="3815" width="8.625" style="5" customWidth="1"/>
    <col min="3816" max="3817" width="9" style="5" hidden="1" customWidth="1"/>
    <col min="3818" max="3818" width="6.375" style="5" customWidth="1"/>
    <col min="3819" max="3819" width="9" style="5"/>
    <col min="3820" max="3820" width="27.5" style="5" customWidth="1"/>
    <col min="3821" max="3821" width="8.875" style="5" customWidth="1"/>
    <col min="3822" max="3822" width="9" style="5"/>
    <col min="3823" max="3823" width="27.5" style="5" customWidth="1"/>
    <col min="3824" max="3825" width="9" style="5"/>
    <col min="3826" max="3826" width="27.5" style="5" customWidth="1"/>
    <col min="3827" max="3828" width="9" style="5"/>
    <col min="3829" max="3829" width="27.5" style="5" customWidth="1"/>
    <col min="3830" max="3831" width="9" style="5"/>
    <col min="3832" max="3832" width="27.5" style="5" customWidth="1"/>
    <col min="3833" max="3834" width="9" style="5"/>
    <col min="3835" max="3835" width="27.5" style="5" customWidth="1"/>
    <col min="3836" max="3837" width="9" style="5"/>
    <col min="3838" max="3838" width="27.5" style="5" customWidth="1"/>
    <col min="3839" max="3840" width="9" style="5"/>
    <col min="3841" max="3841" width="27.5" style="5" customWidth="1"/>
    <col min="3842" max="3843" width="9" style="5"/>
    <col min="3844" max="3844" width="27.5" style="5" customWidth="1"/>
    <col min="3845" max="3845" width="9" style="5"/>
    <col min="3846" max="3846" width="9.625" style="5" customWidth="1"/>
    <col min="3847" max="3847" width="10.5" style="5" customWidth="1"/>
    <col min="3848" max="4068" width="9" style="5"/>
    <col min="4069" max="4069" width="21.25" style="5" customWidth="1"/>
    <col min="4070" max="4070" width="6.125" style="5" customWidth="1"/>
    <col min="4071" max="4071" width="8.625" style="5" customWidth="1"/>
    <col min="4072" max="4073" width="9" style="5" hidden="1" customWidth="1"/>
    <col min="4074" max="4074" width="6.375" style="5" customWidth="1"/>
    <col min="4075" max="4075" width="9" style="5"/>
    <col min="4076" max="4076" width="27.5" style="5" customWidth="1"/>
    <col min="4077" max="4077" width="8.875" style="5" customWidth="1"/>
    <col min="4078" max="4078" width="9" style="5"/>
    <col min="4079" max="4079" width="27.5" style="5" customWidth="1"/>
    <col min="4080" max="4081" width="9" style="5"/>
    <col min="4082" max="4082" width="27.5" style="5" customWidth="1"/>
    <col min="4083" max="4084" width="9" style="5"/>
    <col min="4085" max="4085" width="27.5" style="5" customWidth="1"/>
    <col min="4086" max="4087" width="9" style="5"/>
    <col min="4088" max="4088" width="27.5" style="5" customWidth="1"/>
    <col min="4089" max="4090" width="9" style="5"/>
    <col min="4091" max="4091" width="27.5" style="5" customWidth="1"/>
    <col min="4092" max="4093" width="9" style="5"/>
    <col min="4094" max="4094" width="27.5" style="5" customWidth="1"/>
    <col min="4095" max="4096" width="9" style="5"/>
    <col min="4097" max="4097" width="27.5" style="5" customWidth="1"/>
    <col min="4098" max="4099" width="9" style="5"/>
    <col min="4100" max="4100" width="27.5" style="5" customWidth="1"/>
    <col min="4101" max="4101" width="9" style="5"/>
    <col min="4102" max="4102" width="9.625" style="5" customWidth="1"/>
    <col min="4103" max="4103" width="10.5" style="5" customWidth="1"/>
    <col min="4104" max="4324" width="9" style="5"/>
    <col min="4325" max="4325" width="21.25" style="5" customWidth="1"/>
    <col min="4326" max="4326" width="6.125" style="5" customWidth="1"/>
    <col min="4327" max="4327" width="8.625" style="5" customWidth="1"/>
    <col min="4328" max="4329" width="9" style="5" hidden="1" customWidth="1"/>
    <col min="4330" max="4330" width="6.375" style="5" customWidth="1"/>
    <col min="4331" max="4331" width="9" style="5"/>
    <col min="4332" max="4332" width="27.5" style="5" customWidth="1"/>
    <col min="4333" max="4333" width="8.875" style="5" customWidth="1"/>
    <col min="4334" max="4334" width="9" style="5"/>
    <col min="4335" max="4335" width="27.5" style="5" customWidth="1"/>
    <col min="4336" max="4337" width="9" style="5"/>
    <col min="4338" max="4338" width="27.5" style="5" customWidth="1"/>
    <col min="4339" max="4340" width="9" style="5"/>
    <col min="4341" max="4341" width="27.5" style="5" customWidth="1"/>
    <col min="4342" max="4343" width="9" style="5"/>
    <col min="4344" max="4344" width="27.5" style="5" customWidth="1"/>
    <col min="4345" max="4346" width="9" style="5"/>
    <col min="4347" max="4347" width="27.5" style="5" customWidth="1"/>
    <col min="4348" max="4349" width="9" style="5"/>
    <col min="4350" max="4350" width="27.5" style="5" customWidth="1"/>
    <col min="4351" max="4352" width="9" style="5"/>
    <col min="4353" max="4353" width="27.5" style="5" customWidth="1"/>
    <col min="4354" max="4355" width="9" style="5"/>
    <col min="4356" max="4356" width="27.5" style="5" customWidth="1"/>
    <col min="4357" max="4357" width="9" style="5"/>
    <col min="4358" max="4358" width="9.625" style="5" customWidth="1"/>
    <col min="4359" max="4359" width="10.5" style="5" customWidth="1"/>
    <col min="4360" max="4580" width="9" style="5"/>
    <col min="4581" max="4581" width="21.25" style="5" customWidth="1"/>
    <col min="4582" max="4582" width="6.125" style="5" customWidth="1"/>
    <col min="4583" max="4583" width="8.625" style="5" customWidth="1"/>
    <col min="4584" max="4585" width="9" style="5" hidden="1" customWidth="1"/>
    <col min="4586" max="4586" width="6.375" style="5" customWidth="1"/>
    <col min="4587" max="4587" width="9" style="5"/>
    <col min="4588" max="4588" width="27.5" style="5" customWidth="1"/>
    <col min="4589" max="4589" width="8.875" style="5" customWidth="1"/>
    <col min="4590" max="4590" width="9" style="5"/>
    <col min="4591" max="4591" width="27.5" style="5" customWidth="1"/>
    <col min="4592" max="4593" width="9" style="5"/>
    <col min="4594" max="4594" width="27.5" style="5" customWidth="1"/>
    <col min="4595" max="4596" width="9" style="5"/>
    <col min="4597" max="4597" width="27.5" style="5" customWidth="1"/>
    <col min="4598" max="4599" width="9" style="5"/>
    <col min="4600" max="4600" width="27.5" style="5" customWidth="1"/>
    <col min="4601" max="4602" width="9" style="5"/>
    <col min="4603" max="4603" width="27.5" style="5" customWidth="1"/>
    <col min="4604" max="4605" width="9" style="5"/>
    <col min="4606" max="4606" width="27.5" style="5" customWidth="1"/>
    <col min="4607" max="4608" width="9" style="5"/>
    <col min="4609" max="4609" width="27.5" style="5" customWidth="1"/>
    <col min="4610" max="4611" width="9" style="5"/>
    <col min="4612" max="4612" width="27.5" style="5" customWidth="1"/>
    <col min="4613" max="4613" width="9" style="5"/>
    <col min="4614" max="4614" width="9.625" style="5" customWidth="1"/>
    <col min="4615" max="4615" width="10.5" style="5" customWidth="1"/>
    <col min="4616" max="4836" width="9" style="5"/>
    <col min="4837" max="4837" width="21.25" style="5" customWidth="1"/>
    <col min="4838" max="4838" width="6.125" style="5" customWidth="1"/>
    <col min="4839" max="4839" width="8.625" style="5" customWidth="1"/>
    <col min="4840" max="4841" width="9" style="5" hidden="1" customWidth="1"/>
    <col min="4842" max="4842" width="6.375" style="5" customWidth="1"/>
    <col min="4843" max="4843" width="9" style="5"/>
    <col min="4844" max="4844" width="27.5" style="5" customWidth="1"/>
    <col min="4845" max="4845" width="8.875" style="5" customWidth="1"/>
    <col min="4846" max="4846" width="9" style="5"/>
    <col min="4847" max="4847" width="27.5" style="5" customWidth="1"/>
    <col min="4848" max="4849" width="9" style="5"/>
    <col min="4850" max="4850" width="27.5" style="5" customWidth="1"/>
    <col min="4851" max="4852" width="9" style="5"/>
    <col min="4853" max="4853" width="27.5" style="5" customWidth="1"/>
    <col min="4854" max="4855" width="9" style="5"/>
    <col min="4856" max="4856" width="27.5" style="5" customWidth="1"/>
    <col min="4857" max="4858" width="9" style="5"/>
    <col min="4859" max="4859" width="27.5" style="5" customWidth="1"/>
    <col min="4860" max="4861" width="9" style="5"/>
    <col min="4862" max="4862" width="27.5" style="5" customWidth="1"/>
    <col min="4863" max="4864" width="9" style="5"/>
    <col min="4865" max="4865" width="27.5" style="5" customWidth="1"/>
    <col min="4866" max="4867" width="9" style="5"/>
    <col min="4868" max="4868" width="27.5" style="5" customWidth="1"/>
    <col min="4869" max="4869" width="9" style="5"/>
    <col min="4870" max="4870" width="9.625" style="5" customWidth="1"/>
    <col min="4871" max="4871" width="10.5" style="5" customWidth="1"/>
    <col min="4872" max="5092" width="9" style="5"/>
    <col min="5093" max="5093" width="21.25" style="5" customWidth="1"/>
    <col min="5094" max="5094" width="6.125" style="5" customWidth="1"/>
    <col min="5095" max="5095" width="8.625" style="5" customWidth="1"/>
    <col min="5096" max="5097" width="9" style="5" hidden="1" customWidth="1"/>
    <col min="5098" max="5098" width="6.375" style="5" customWidth="1"/>
    <col min="5099" max="5099" width="9" style="5"/>
    <col min="5100" max="5100" width="27.5" style="5" customWidth="1"/>
    <col min="5101" max="5101" width="8.875" style="5" customWidth="1"/>
    <col min="5102" max="5102" width="9" style="5"/>
    <col min="5103" max="5103" width="27.5" style="5" customWidth="1"/>
    <col min="5104" max="5105" width="9" style="5"/>
    <col min="5106" max="5106" width="27.5" style="5" customWidth="1"/>
    <col min="5107" max="5108" width="9" style="5"/>
    <col min="5109" max="5109" width="27.5" style="5" customWidth="1"/>
    <col min="5110" max="5111" width="9" style="5"/>
    <col min="5112" max="5112" width="27.5" style="5" customWidth="1"/>
    <col min="5113" max="5114" width="9" style="5"/>
    <col min="5115" max="5115" width="27.5" style="5" customWidth="1"/>
    <col min="5116" max="5117" width="9" style="5"/>
    <col min="5118" max="5118" width="27.5" style="5" customWidth="1"/>
    <col min="5119" max="5120" width="9" style="5"/>
    <col min="5121" max="5121" width="27.5" style="5" customWidth="1"/>
    <col min="5122" max="5123" width="9" style="5"/>
    <col min="5124" max="5124" width="27.5" style="5" customWidth="1"/>
    <col min="5125" max="5125" width="9" style="5"/>
    <col min="5126" max="5126" width="9.625" style="5" customWidth="1"/>
    <col min="5127" max="5127" width="10.5" style="5" customWidth="1"/>
    <col min="5128" max="5348" width="9" style="5"/>
    <col min="5349" max="5349" width="21.25" style="5" customWidth="1"/>
    <col min="5350" max="5350" width="6.125" style="5" customWidth="1"/>
    <col min="5351" max="5351" width="8.625" style="5" customWidth="1"/>
    <col min="5352" max="5353" width="9" style="5" hidden="1" customWidth="1"/>
    <col min="5354" max="5354" width="6.375" style="5" customWidth="1"/>
    <col min="5355" max="5355" width="9" style="5"/>
    <col min="5356" max="5356" width="27.5" style="5" customWidth="1"/>
    <col min="5357" max="5357" width="8.875" style="5" customWidth="1"/>
    <col min="5358" max="5358" width="9" style="5"/>
    <col min="5359" max="5359" width="27.5" style="5" customWidth="1"/>
    <col min="5360" max="5361" width="9" style="5"/>
    <col min="5362" max="5362" width="27.5" style="5" customWidth="1"/>
    <col min="5363" max="5364" width="9" style="5"/>
    <col min="5365" max="5365" width="27.5" style="5" customWidth="1"/>
    <col min="5366" max="5367" width="9" style="5"/>
    <col min="5368" max="5368" width="27.5" style="5" customWidth="1"/>
    <col min="5369" max="5370" width="9" style="5"/>
    <col min="5371" max="5371" width="27.5" style="5" customWidth="1"/>
    <col min="5372" max="5373" width="9" style="5"/>
    <col min="5374" max="5374" width="27.5" style="5" customWidth="1"/>
    <col min="5375" max="5376" width="9" style="5"/>
    <col min="5377" max="5377" width="27.5" style="5" customWidth="1"/>
    <col min="5378" max="5379" width="9" style="5"/>
    <col min="5380" max="5380" width="27.5" style="5" customWidth="1"/>
    <col min="5381" max="5381" width="9" style="5"/>
    <col min="5382" max="5382" width="9.625" style="5" customWidth="1"/>
    <col min="5383" max="5383" width="10.5" style="5" customWidth="1"/>
    <col min="5384" max="5604" width="9" style="5"/>
    <col min="5605" max="5605" width="21.25" style="5" customWidth="1"/>
    <col min="5606" max="5606" width="6.125" style="5" customWidth="1"/>
    <col min="5607" max="5607" width="8.625" style="5" customWidth="1"/>
    <col min="5608" max="5609" width="9" style="5" hidden="1" customWidth="1"/>
    <col min="5610" max="5610" width="6.375" style="5" customWidth="1"/>
    <col min="5611" max="5611" width="9" style="5"/>
    <col min="5612" max="5612" width="27.5" style="5" customWidth="1"/>
    <col min="5613" max="5613" width="8.875" style="5" customWidth="1"/>
    <col min="5614" max="5614" width="9" style="5"/>
    <col min="5615" max="5615" width="27.5" style="5" customWidth="1"/>
    <col min="5616" max="5617" width="9" style="5"/>
    <col min="5618" max="5618" width="27.5" style="5" customWidth="1"/>
    <col min="5619" max="5620" width="9" style="5"/>
    <col min="5621" max="5621" width="27.5" style="5" customWidth="1"/>
    <col min="5622" max="5623" width="9" style="5"/>
    <col min="5624" max="5624" width="27.5" style="5" customWidth="1"/>
    <col min="5625" max="5626" width="9" style="5"/>
    <col min="5627" max="5627" width="27.5" style="5" customWidth="1"/>
    <col min="5628" max="5629" width="9" style="5"/>
    <col min="5630" max="5630" width="27.5" style="5" customWidth="1"/>
    <col min="5631" max="5632" width="9" style="5"/>
    <col min="5633" max="5633" width="27.5" style="5" customWidth="1"/>
    <col min="5634" max="5635" width="9" style="5"/>
    <col min="5636" max="5636" width="27.5" style="5" customWidth="1"/>
    <col min="5637" max="5637" width="9" style="5"/>
    <col min="5638" max="5638" width="9.625" style="5" customWidth="1"/>
    <col min="5639" max="5639" width="10.5" style="5" customWidth="1"/>
    <col min="5640" max="5860" width="9" style="5"/>
    <col min="5861" max="5861" width="21.25" style="5" customWidth="1"/>
    <col min="5862" max="5862" width="6.125" style="5" customWidth="1"/>
    <col min="5863" max="5863" width="8.625" style="5" customWidth="1"/>
    <col min="5864" max="5865" width="9" style="5" hidden="1" customWidth="1"/>
    <col min="5866" max="5866" width="6.375" style="5" customWidth="1"/>
    <col min="5867" max="5867" width="9" style="5"/>
    <col min="5868" max="5868" width="27.5" style="5" customWidth="1"/>
    <col min="5869" max="5869" width="8.875" style="5" customWidth="1"/>
    <col min="5870" max="5870" width="9" style="5"/>
    <col min="5871" max="5871" width="27.5" style="5" customWidth="1"/>
    <col min="5872" max="5873" width="9" style="5"/>
    <col min="5874" max="5874" width="27.5" style="5" customWidth="1"/>
    <col min="5875" max="5876" width="9" style="5"/>
    <col min="5877" max="5877" width="27.5" style="5" customWidth="1"/>
    <col min="5878" max="5879" width="9" style="5"/>
    <col min="5880" max="5880" width="27.5" style="5" customWidth="1"/>
    <col min="5881" max="5882" width="9" style="5"/>
    <col min="5883" max="5883" width="27.5" style="5" customWidth="1"/>
    <col min="5884" max="5885" width="9" style="5"/>
    <col min="5886" max="5886" width="27.5" style="5" customWidth="1"/>
    <col min="5887" max="5888" width="9" style="5"/>
    <col min="5889" max="5889" width="27.5" style="5" customWidth="1"/>
    <col min="5890" max="5891" width="9" style="5"/>
    <col min="5892" max="5892" width="27.5" style="5" customWidth="1"/>
    <col min="5893" max="5893" width="9" style="5"/>
    <col min="5894" max="5894" width="9.625" style="5" customWidth="1"/>
    <col min="5895" max="5895" width="10.5" style="5" customWidth="1"/>
    <col min="5896" max="6116" width="9" style="5"/>
    <col min="6117" max="6117" width="21.25" style="5" customWidth="1"/>
    <col min="6118" max="6118" width="6.125" style="5" customWidth="1"/>
    <col min="6119" max="6119" width="8.625" style="5" customWidth="1"/>
    <col min="6120" max="6121" width="9" style="5" hidden="1" customWidth="1"/>
    <col min="6122" max="6122" width="6.375" style="5" customWidth="1"/>
    <col min="6123" max="6123" width="9" style="5"/>
    <col min="6124" max="6124" width="27.5" style="5" customWidth="1"/>
    <col min="6125" max="6125" width="8.875" style="5" customWidth="1"/>
    <col min="6126" max="6126" width="9" style="5"/>
    <col min="6127" max="6127" width="27.5" style="5" customWidth="1"/>
    <col min="6128" max="6129" width="9" style="5"/>
    <col min="6130" max="6130" width="27.5" style="5" customWidth="1"/>
    <col min="6131" max="6132" width="9" style="5"/>
    <col min="6133" max="6133" width="27.5" style="5" customWidth="1"/>
    <col min="6134" max="6135" width="9" style="5"/>
    <col min="6136" max="6136" width="27.5" style="5" customWidth="1"/>
    <col min="6137" max="6138" width="9" style="5"/>
    <col min="6139" max="6139" width="27.5" style="5" customWidth="1"/>
    <col min="6140" max="6141" width="9" style="5"/>
    <col min="6142" max="6142" width="27.5" style="5" customWidth="1"/>
    <col min="6143" max="6144" width="9" style="5"/>
    <col min="6145" max="6145" width="27.5" style="5" customWidth="1"/>
    <col min="6146" max="6147" width="9" style="5"/>
    <col min="6148" max="6148" width="27.5" style="5" customWidth="1"/>
    <col min="6149" max="6149" width="9" style="5"/>
    <col min="6150" max="6150" width="9.625" style="5" customWidth="1"/>
    <col min="6151" max="6151" width="10.5" style="5" customWidth="1"/>
    <col min="6152" max="6372" width="9" style="5"/>
    <col min="6373" max="6373" width="21.25" style="5" customWidth="1"/>
    <col min="6374" max="6374" width="6.125" style="5" customWidth="1"/>
    <col min="6375" max="6375" width="8.625" style="5" customWidth="1"/>
    <col min="6376" max="6377" width="9" style="5" hidden="1" customWidth="1"/>
    <col min="6378" max="6378" width="6.375" style="5" customWidth="1"/>
    <col min="6379" max="6379" width="9" style="5"/>
    <col min="6380" max="6380" width="27.5" style="5" customWidth="1"/>
    <col min="6381" max="6381" width="8.875" style="5" customWidth="1"/>
    <col min="6382" max="6382" width="9" style="5"/>
    <col min="6383" max="6383" width="27.5" style="5" customWidth="1"/>
    <col min="6384" max="6385" width="9" style="5"/>
    <col min="6386" max="6386" width="27.5" style="5" customWidth="1"/>
    <col min="6387" max="6388" width="9" style="5"/>
    <col min="6389" max="6389" width="27.5" style="5" customWidth="1"/>
    <col min="6390" max="6391" width="9" style="5"/>
    <col min="6392" max="6392" width="27.5" style="5" customWidth="1"/>
    <col min="6393" max="6394" width="9" style="5"/>
    <col min="6395" max="6395" width="27.5" style="5" customWidth="1"/>
    <col min="6396" max="6397" width="9" style="5"/>
    <col min="6398" max="6398" width="27.5" style="5" customWidth="1"/>
    <col min="6399" max="6400" width="9" style="5"/>
    <col min="6401" max="6401" width="27.5" style="5" customWidth="1"/>
    <col min="6402" max="6403" width="9" style="5"/>
    <col min="6404" max="6404" width="27.5" style="5" customWidth="1"/>
    <col min="6405" max="6405" width="9" style="5"/>
    <col min="6406" max="6406" width="9.625" style="5" customWidth="1"/>
    <col min="6407" max="6407" width="10.5" style="5" customWidth="1"/>
    <col min="6408" max="6628" width="9" style="5"/>
    <col min="6629" max="6629" width="21.25" style="5" customWidth="1"/>
    <col min="6630" max="6630" width="6.125" style="5" customWidth="1"/>
    <col min="6631" max="6631" width="8.625" style="5" customWidth="1"/>
    <col min="6632" max="6633" width="9" style="5" hidden="1" customWidth="1"/>
    <col min="6634" max="6634" width="6.375" style="5" customWidth="1"/>
    <col min="6635" max="6635" width="9" style="5"/>
    <col min="6636" max="6636" width="27.5" style="5" customWidth="1"/>
    <col min="6637" max="6637" width="8.875" style="5" customWidth="1"/>
    <col min="6638" max="6638" width="9" style="5"/>
    <col min="6639" max="6639" width="27.5" style="5" customWidth="1"/>
    <col min="6640" max="6641" width="9" style="5"/>
    <col min="6642" max="6642" width="27.5" style="5" customWidth="1"/>
    <col min="6643" max="6644" width="9" style="5"/>
    <col min="6645" max="6645" width="27.5" style="5" customWidth="1"/>
    <col min="6646" max="6647" width="9" style="5"/>
    <col min="6648" max="6648" width="27.5" style="5" customWidth="1"/>
    <col min="6649" max="6650" width="9" style="5"/>
    <col min="6651" max="6651" width="27.5" style="5" customWidth="1"/>
    <col min="6652" max="6653" width="9" style="5"/>
    <col min="6654" max="6654" width="27.5" style="5" customWidth="1"/>
    <col min="6655" max="6656" width="9" style="5"/>
    <col min="6657" max="6657" width="27.5" style="5" customWidth="1"/>
    <col min="6658" max="6659" width="9" style="5"/>
    <col min="6660" max="6660" width="27.5" style="5" customWidth="1"/>
    <col min="6661" max="6661" width="9" style="5"/>
    <col min="6662" max="6662" width="9.625" style="5" customWidth="1"/>
    <col min="6663" max="6663" width="10.5" style="5" customWidth="1"/>
    <col min="6664" max="6884" width="9" style="5"/>
    <col min="6885" max="6885" width="21.25" style="5" customWidth="1"/>
    <col min="6886" max="6886" width="6.125" style="5" customWidth="1"/>
    <col min="6887" max="6887" width="8.625" style="5" customWidth="1"/>
    <col min="6888" max="6889" width="9" style="5" hidden="1" customWidth="1"/>
    <col min="6890" max="6890" width="6.375" style="5" customWidth="1"/>
    <col min="6891" max="6891" width="9" style="5"/>
    <col min="6892" max="6892" width="27.5" style="5" customWidth="1"/>
    <col min="6893" max="6893" width="8.875" style="5" customWidth="1"/>
    <col min="6894" max="6894" width="9" style="5"/>
    <col min="6895" max="6895" width="27.5" style="5" customWidth="1"/>
    <col min="6896" max="6897" width="9" style="5"/>
    <col min="6898" max="6898" width="27.5" style="5" customWidth="1"/>
    <col min="6899" max="6900" width="9" style="5"/>
    <col min="6901" max="6901" width="27.5" style="5" customWidth="1"/>
    <col min="6902" max="6903" width="9" style="5"/>
    <col min="6904" max="6904" width="27.5" style="5" customWidth="1"/>
    <col min="6905" max="6906" width="9" style="5"/>
    <col min="6907" max="6907" width="27.5" style="5" customWidth="1"/>
    <col min="6908" max="6909" width="9" style="5"/>
    <col min="6910" max="6910" width="27.5" style="5" customWidth="1"/>
    <col min="6911" max="6912" width="9" style="5"/>
    <col min="6913" max="6913" width="27.5" style="5" customWidth="1"/>
    <col min="6914" max="6915" width="9" style="5"/>
    <col min="6916" max="6916" width="27.5" style="5" customWidth="1"/>
    <col min="6917" max="6917" width="9" style="5"/>
    <col min="6918" max="6918" width="9.625" style="5" customWidth="1"/>
    <col min="6919" max="6919" width="10.5" style="5" customWidth="1"/>
    <col min="6920" max="7140" width="9" style="5"/>
    <col min="7141" max="7141" width="21.25" style="5" customWidth="1"/>
    <col min="7142" max="7142" width="6.125" style="5" customWidth="1"/>
    <col min="7143" max="7143" width="8.625" style="5" customWidth="1"/>
    <col min="7144" max="7145" width="9" style="5" hidden="1" customWidth="1"/>
    <col min="7146" max="7146" width="6.375" style="5" customWidth="1"/>
    <col min="7147" max="7147" width="9" style="5"/>
    <col min="7148" max="7148" width="27.5" style="5" customWidth="1"/>
    <col min="7149" max="7149" width="8.875" style="5" customWidth="1"/>
    <col min="7150" max="7150" width="9" style="5"/>
    <col min="7151" max="7151" width="27.5" style="5" customWidth="1"/>
    <col min="7152" max="7153" width="9" style="5"/>
    <col min="7154" max="7154" width="27.5" style="5" customWidth="1"/>
    <col min="7155" max="7156" width="9" style="5"/>
    <col min="7157" max="7157" width="27.5" style="5" customWidth="1"/>
    <col min="7158" max="7159" width="9" style="5"/>
    <col min="7160" max="7160" width="27.5" style="5" customWidth="1"/>
    <col min="7161" max="7162" width="9" style="5"/>
    <col min="7163" max="7163" width="27.5" style="5" customWidth="1"/>
    <col min="7164" max="7165" width="9" style="5"/>
    <col min="7166" max="7166" width="27.5" style="5" customWidth="1"/>
    <col min="7167" max="7168" width="9" style="5"/>
    <col min="7169" max="7169" width="27.5" style="5" customWidth="1"/>
    <col min="7170" max="7171" width="9" style="5"/>
    <col min="7172" max="7172" width="27.5" style="5" customWidth="1"/>
    <col min="7173" max="7173" width="9" style="5"/>
    <col min="7174" max="7174" width="9.625" style="5" customWidth="1"/>
    <col min="7175" max="7175" width="10.5" style="5" customWidth="1"/>
    <col min="7176" max="7396" width="9" style="5"/>
    <col min="7397" max="7397" width="21.25" style="5" customWidth="1"/>
    <col min="7398" max="7398" width="6.125" style="5" customWidth="1"/>
    <col min="7399" max="7399" width="8.625" style="5" customWidth="1"/>
    <col min="7400" max="7401" width="9" style="5" hidden="1" customWidth="1"/>
    <col min="7402" max="7402" width="6.375" style="5" customWidth="1"/>
    <col min="7403" max="7403" width="9" style="5"/>
    <col min="7404" max="7404" width="27.5" style="5" customWidth="1"/>
    <col min="7405" max="7405" width="8.875" style="5" customWidth="1"/>
    <col min="7406" max="7406" width="9" style="5"/>
    <col min="7407" max="7407" width="27.5" style="5" customWidth="1"/>
    <col min="7408" max="7409" width="9" style="5"/>
    <col min="7410" max="7410" width="27.5" style="5" customWidth="1"/>
    <col min="7411" max="7412" width="9" style="5"/>
    <col min="7413" max="7413" width="27.5" style="5" customWidth="1"/>
    <col min="7414" max="7415" width="9" style="5"/>
    <col min="7416" max="7416" width="27.5" style="5" customWidth="1"/>
    <col min="7417" max="7418" width="9" style="5"/>
    <col min="7419" max="7419" width="27.5" style="5" customWidth="1"/>
    <col min="7420" max="7421" width="9" style="5"/>
    <col min="7422" max="7422" width="27.5" style="5" customWidth="1"/>
    <col min="7423" max="7424" width="9" style="5"/>
    <col min="7425" max="7425" width="27.5" style="5" customWidth="1"/>
    <col min="7426" max="7427" width="9" style="5"/>
    <col min="7428" max="7428" width="27.5" style="5" customWidth="1"/>
    <col min="7429" max="7429" width="9" style="5"/>
    <col min="7430" max="7430" width="9.625" style="5" customWidth="1"/>
    <col min="7431" max="7431" width="10.5" style="5" customWidth="1"/>
    <col min="7432" max="7652" width="9" style="5"/>
    <col min="7653" max="7653" width="21.25" style="5" customWidth="1"/>
    <col min="7654" max="7654" width="6.125" style="5" customWidth="1"/>
    <col min="7655" max="7655" width="8.625" style="5" customWidth="1"/>
    <col min="7656" max="7657" width="9" style="5" hidden="1" customWidth="1"/>
    <col min="7658" max="7658" width="6.375" style="5" customWidth="1"/>
    <col min="7659" max="7659" width="9" style="5"/>
    <col min="7660" max="7660" width="27.5" style="5" customWidth="1"/>
    <col min="7661" max="7661" width="8.875" style="5" customWidth="1"/>
    <col min="7662" max="7662" width="9" style="5"/>
    <col min="7663" max="7663" width="27.5" style="5" customWidth="1"/>
    <col min="7664" max="7665" width="9" style="5"/>
    <col min="7666" max="7666" width="27.5" style="5" customWidth="1"/>
    <col min="7667" max="7668" width="9" style="5"/>
    <col min="7669" max="7669" width="27.5" style="5" customWidth="1"/>
    <col min="7670" max="7671" width="9" style="5"/>
    <col min="7672" max="7672" width="27.5" style="5" customWidth="1"/>
    <col min="7673" max="7674" width="9" style="5"/>
    <col min="7675" max="7675" width="27.5" style="5" customWidth="1"/>
    <col min="7676" max="7677" width="9" style="5"/>
    <col min="7678" max="7678" width="27.5" style="5" customWidth="1"/>
    <col min="7679" max="7680" width="9" style="5"/>
    <col min="7681" max="7681" width="27.5" style="5" customWidth="1"/>
    <col min="7682" max="7683" width="9" style="5"/>
    <col min="7684" max="7684" width="27.5" style="5" customWidth="1"/>
    <col min="7685" max="7685" width="9" style="5"/>
    <col min="7686" max="7686" width="9.625" style="5" customWidth="1"/>
    <col min="7687" max="7687" width="10.5" style="5" customWidth="1"/>
    <col min="7688" max="7908" width="9" style="5"/>
    <col min="7909" max="7909" width="21.25" style="5" customWidth="1"/>
    <col min="7910" max="7910" width="6.125" style="5" customWidth="1"/>
    <col min="7911" max="7911" width="8.625" style="5" customWidth="1"/>
    <col min="7912" max="7913" width="9" style="5" hidden="1" customWidth="1"/>
    <col min="7914" max="7914" width="6.375" style="5" customWidth="1"/>
    <col min="7915" max="7915" width="9" style="5"/>
    <col min="7916" max="7916" width="27.5" style="5" customWidth="1"/>
    <col min="7917" max="7917" width="8.875" style="5" customWidth="1"/>
    <col min="7918" max="7918" width="9" style="5"/>
    <col min="7919" max="7919" width="27.5" style="5" customWidth="1"/>
    <col min="7920" max="7921" width="9" style="5"/>
    <col min="7922" max="7922" width="27.5" style="5" customWidth="1"/>
    <col min="7923" max="7924" width="9" style="5"/>
    <col min="7925" max="7925" width="27.5" style="5" customWidth="1"/>
    <col min="7926" max="7927" width="9" style="5"/>
    <col min="7928" max="7928" width="27.5" style="5" customWidth="1"/>
    <col min="7929" max="7930" width="9" style="5"/>
    <col min="7931" max="7931" width="27.5" style="5" customWidth="1"/>
    <col min="7932" max="7933" width="9" style="5"/>
    <col min="7934" max="7934" width="27.5" style="5" customWidth="1"/>
    <col min="7935" max="7936" width="9" style="5"/>
    <col min="7937" max="7937" width="27.5" style="5" customWidth="1"/>
    <col min="7938" max="7939" width="9" style="5"/>
    <col min="7940" max="7940" width="27.5" style="5" customWidth="1"/>
    <col min="7941" max="7941" width="9" style="5"/>
    <col min="7942" max="7942" width="9.625" style="5" customWidth="1"/>
    <col min="7943" max="7943" width="10.5" style="5" customWidth="1"/>
    <col min="7944" max="8164" width="9" style="5"/>
    <col min="8165" max="8165" width="21.25" style="5" customWidth="1"/>
    <col min="8166" max="8166" width="6.125" style="5" customWidth="1"/>
    <col min="8167" max="8167" width="8.625" style="5" customWidth="1"/>
    <col min="8168" max="8169" width="9" style="5" hidden="1" customWidth="1"/>
    <col min="8170" max="8170" width="6.375" style="5" customWidth="1"/>
    <col min="8171" max="8171" width="9" style="5"/>
    <col min="8172" max="8172" width="27.5" style="5" customWidth="1"/>
    <col min="8173" max="8173" width="8.875" style="5" customWidth="1"/>
    <col min="8174" max="8174" width="9" style="5"/>
    <col min="8175" max="8175" width="27.5" style="5" customWidth="1"/>
    <col min="8176" max="8177" width="9" style="5"/>
    <col min="8178" max="8178" width="27.5" style="5" customWidth="1"/>
    <col min="8179" max="8180" width="9" style="5"/>
    <col min="8181" max="8181" width="27.5" style="5" customWidth="1"/>
    <col min="8182" max="8183" width="9" style="5"/>
    <col min="8184" max="8184" width="27.5" style="5" customWidth="1"/>
    <col min="8185" max="8186" width="9" style="5"/>
    <col min="8187" max="8187" width="27.5" style="5" customWidth="1"/>
    <col min="8188" max="8189" width="9" style="5"/>
    <col min="8190" max="8190" width="27.5" style="5" customWidth="1"/>
    <col min="8191" max="8192" width="9" style="5"/>
    <col min="8193" max="8193" width="27.5" style="5" customWidth="1"/>
    <col min="8194" max="8195" width="9" style="5"/>
    <col min="8196" max="8196" width="27.5" style="5" customWidth="1"/>
    <col min="8197" max="8197" width="9" style="5"/>
    <col min="8198" max="8198" width="9.625" style="5" customWidth="1"/>
    <col min="8199" max="8199" width="10.5" style="5" customWidth="1"/>
    <col min="8200" max="8420" width="9" style="5"/>
    <col min="8421" max="8421" width="21.25" style="5" customWidth="1"/>
    <col min="8422" max="8422" width="6.125" style="5" customWidth="1"/>
    <col min="8423" max="8423" width="8.625" style="5" customWidth="1"/>
    <col min="8424" max="8425" width="9" style="5" hidden="1" customWidth="1"/>
    <col min="8426" max="8426" width="6.375" style="5" customWidth="1"/>
    <col min="8427" max="8427" width="9" style="5"/>
    <col min="8428" max="8428" width="27.5" style="5" customWidth="1"/>
    <col min="8429" max="8429" width="8.875" style="5" customWidth="1"/>
    <col min="8430" max="8430" width="9" style="5"/>
    <col min="8431" max="8431" width="27.5" style="5" customWidth="1"/>
    <col min="8432" max="8433" width="9" style="5"/>
    <col min="8434" max="8434" width="27.5" style="5" customWidth="1"/>
    <col min="8435" max="8436" width="9" style="5"/>
    <col min="8437" max="8437" width="27.5" style="5" customWidth="1"/>
    <col min="8438" max="8439" width="9" style="5"/>
    <col min="8440" max="8440" width="27.5" style="5" customWidth="1"/>
    <col min="8441" max="8442" width="9" style="5"/>
    <col min="8443" max="8443" width="27.5" style="5" customWidth="1"/>
    <col min="8444" max="8445" width="9" style="5"/>
    <col min="8446" max="8446" width="27.5" style="5" customWidth="1"/>
    <col min="8447" max="8448" width="9" style="5"/>
    <col min="8449" max="8449" width="27.5" style="5" customWidth="1"/>
    <col min="8450" max="8451" width="9" style="5"/>
    <col min="8452" max="8452" width="27.5" style="5" customWidth="1"/>
    <col min="8453" max="8453" width="9" style="5"/>
    <col min="8454" max="8454" width="9.625" style="5" customWidth="1"/>
    <col min="8455" max="8455" width="10.5" style="5" customWidth="1"/>
    <col min="8456" max="8676" width="9" style="5"/>
    <col min="8677" max="8677" width="21.25" style="5" customWidth="1"/>
    <col min="8678" max="8678" width="6.125" style="5" customWidth="1"/>
    <col min="8679" max="8679" width="8.625" style="5" customWidth="1"/>
    <col min="8680" max="8681" width="9" style="5" hidden="1" customWidth="1"/>
    <col min="8682" max="8682" width="6.375" style="5" customWidth="1"/>
    <col min="8683" max="8683" width="9" style="5"/>
    <col min="8684" max="8684" width="27.5" style="5" customWidth="1"/>
    <col min="8685" max="8685" width="8.875" style="5" customWidth="1"/>
    <col min="8686" max="8686" width="9" style="5"/>
    <col min="8687" max="8687" width="27.5" style="5" customWidth="1"/>
    <col min="8688" max="8689" width="9" style="5"/>
    <col min="8690" max="8690" width="27.5" style="5" customWidth="1"/>
    <col min="8691" max="8692" width="9" style="5"/>
    <col min="8693" max="8693" width="27.5" style="5" customWidth="1"/>
    <col min="8694" max="8695" width="9" style="5"/>
    <col min="8696" max="8696" width="27.5" style="5" customWidth="1"/>
    <col min="8697" max="8698" width="9" style="5"/>
    <col min="8699" max="8699" width="27.5" style="5" customWidth="1"/>
    <col min="8700" max="8701" width="9" style="5"/>
    <col min="8702" max="8702" width="27.5" style="5" customWidth="1"/>
    <col min="8703" max="8704" width="9" style="5"/>
    <col min="8705" max="8705" width="27.5" style="5" customWidth="1"/>
    <col min="8706" max="8707" width="9" style="5"/>
    <col min="8708" max="8708" width="27.5" style="5" customWidth="1"/>
    <col min="8709" max="8709" width="9" style="5"/>
    <col min="8710" max="8710" width="9.625" style="5" customWidth="1"/>
    <col min="8711" max="8711" width="10.5" style="5" customWidth="1"/>
    <col min="8712" max="8932" width="9" style="5"/>
    <col min="8933" max="8933" width="21.25" style="5" customWidth="1"/>
    <col min="8934" max="8934" width="6.125" style="5" customWidth="1"/>
    <col min="8935" max="8935" width="8.625" style="5" customWidth="1"/>
    <col min="8936" max="8937" width="9" style="5" hidden="1" customWidth="1"/>
    <col min="8938" max="8938" width="6.375" style="5" customWidth="1"/>
    <col min="8939" max="8939" width="9" style="5"/>
    <col min="8940" max="8940" width="27.5" style="5" customWidth="1"/>
    <col min="8941" max="8941" width="8.875" style="5" customWidth="1"/>
    <col min="8942" max="8942" width="9" style="5"/>
    <col min="8943" max="8943" width="27.5" style="5" customWidth="1"/>
    <col min="8944" max="8945" width="9" style="5"/>
    <col min="8946" max="8946" width="27.5" style="5" customWidth="1"/>
    <col min="8947" max="8948" width="9" style="5"/>
    <col min="8949" max="8949" width="27.5" style="5" customWidth="1"/>
    <col min="8950" max="8951" width="9" style="5"/>
    <col min="8952" max="8952" width="27.5" style="5" customWidth="1"/>
    <col min="8953" max="8954" width="9" style="5"/>
    <col min="8955" max="8955" width="27.5" style="5" customWidth="1"/>
    <col min="8956" max="8957" width="9" style="5"/>
    <col min="8958" max="8958" width="27.5" style="5" customWidth="1"/>
    <col min="8959" max="8960" width="9" style="5"/>
    <col min="8961" max="8961" width="27.5" style="5" customWidth="1"/>
    <col min="8962" max="8963" width="9" style="5"/>
    <col min="8964" max="8964" width="27.5" style="5" customWidth="1"/>
    <col min="8965" max="8965" width="9" style="5"/>
    <col min="8966" max="8966" width="9.625" style="5" customWidth="1"/>
    <col min="8967" max="8967" width="10.5" style="5" customWidth="1"/>
    <col min="8968" max="9188" width="9" style="5"/>
    <col min="9189" max="9189" width="21.25" style="5" customWidth="1"/>
    <col min="9190" max="9190" width="6.125" style="5" customWidth="1"/>
    <col min="9191" max="9191" width="8.625" style="5" customWidth="1"/>
    <col min="9192" max="9193" width="9" style="5" hidden="1" customWidth="1"/>
    <col min="9194" max="9194" width="6.375" style="5" customWidth="1"/>
    <col min="9195" max="9195" width="9" style="5"/>
    <col min="9196" max="9196" width="27.5" style="5" customWidth="1"/>
    <col min="9197" max="9197" width="8.875" style="5" customWidth="1"/>
    <col min="9198" max="9198" width="9" style="5"/>
    <col min="9199" max="9199" width="27.5" style="5" customWidth="1"/>
    <col min="9200" max="9201" width="9" style="5"/>
    <col min="9202" max="9202" width="27.5" style="5" customWidth="1"/>
    <col min="9203" max="9204" width="9" style="5"/>
    <col min="9205" max="9205" width="27.5" style="5" customWidth="1"/>
    <col min="9206" max="9207" width="9" style="5"/>
    <col min="9208" max="9208" width="27.5" style="5" customWidth="1"/>
    <col min="9209" max="9210" width="9" style="5"/>
    <col min="9211" max="9211" width="27.5" style="5" customWidth="1"/>
    <col min="9212" max="9213" width="9" style="5"/>
    <col min="9214" max="9214" width="27.5" style="5" customWidth="1"/>
    <col min="9215" max="9216" width="9" style="5"/>
    <col min="9217" max="9217" width="27.5" style="5" customWidth="1"/>
    <col min="9218" max="9219" width="9" style="5"/>
    <col min="9220" max="9220" width="27.5" style="5" customWidth="1"/>
    <col min="9221" max="9221" width="9" style="5"/>
    <col min="9222" max="9222" width="9.625" style="5" customWidth="1"/>
    <col min="9223" max="9223" width="10.5" style="5" customWidth="1"/>
    <col min="9224" max="9444" width="9" style="5"/>
    <col min="9445" max="9445" width="21.25" style="5" customWidth="1"/>
    <col min="9446" max="9446" width="6.125" style="5" customWidth="1"/>
    <col min="9447" max="9447" width="8.625" style="5" customWidth="1"/>
    <col min="9448" max="9449" width="9" style="5" hidden="1" customWidth="1"/>
    <col min="9450" max="9450" width="6.375" style="5" customWidth="1"/>
    <col min="9451" max="9451" width="9" style="5"/>
    <col min="9452" max="9452" width="27.5" style="5" customWidth="1"/>
    <col min="9453" max="9453" width="8.875" style="5" customWidth="1"/>
    <col min="9454" max="9454" width="9" style="5"/>
    <col min="9455" max="9455" width="27.5" style="5" customWidth="1"/>
    <col min="9456" max="9457" width="9" style="5"/>
    <col min="9458" max="9458" width="27.5" style="5" customWidth="1"/>
    <col min="9459" max="9460" width="9" style="5"/>
    <col min="9461" max="9461" width="27.5" style="5" customWidth="1"/>
    <col min="9462" max="9463" width="9" style="5"/>
    <col min="9464" max="9464" width="27.5" style="5" customWidth="1"/>
    <col min="9465" max="9466" width="9" style="5"/>
    <col min="9467" max="9467" width="27.5" style="5" customWidth="1"/>
    <col min="9468" max="9469" width="9" style="5"/>
    <col min="9470" max="9470" width="27.5" style="5" customWidth="1"/>
    <col min="9471" max="9472" width="9" style="5"/>
    <col min="9473" max="9473" width="27.5" style="5" customWidth="1"/>
    <col min="9474" max="9475" width="9" style="5"/>
    <col min="9476" max="9476" width="27.5" style="5" customWidth="1"/>
    <col min="9477" max="9477" width="9" style="5"/>
    <col min="9478" max="9478" width="9.625" style="5" customWidth="1"/>
    <col min="9479" max="9479" width="10.5" style="5" customWidth="1"/>
    <col min="9480" max="9700" width="9" style="5"/>
    <col min="9701" max="9701" width="21.25" style="5" customWidth="1"/>
    <col min="9702" max="9702" width="6.125" style="5" customWidth="1"/>
    <col min="9703" max="9703" width="8.625" style="5" customWidth="1"/>
    <col min="9704" max="9705" width="9" style="5" hidden="1" customWidth="1"/>
    <col min="9706" max="9706" width="6.375" style="5" customWidth="1"/>
    <col min="9707" max="9707" width="9" style="5"/>
    <col min="9708" max="9708" width="27.5" style="5" customWidth="1"/>
    <col min="9709" max="9709" width="8.875" style="5" customWidth="1"/>
    <col min="9710" max="9710" width="9" style="5"/>
    <col min="9711" max="9711" width="27.5" style="5" customWidth="1"/>
    <col min="9712" max="9713" width="9" style="5"/>
    <col min="9714" max="9714" width="27.5" style="5" customWidth="1"/>
    <col min="9715" max="9716" width="9" style="5"/>
    <col min="9717" max="9717" width="27.5" style="5" customWidth="1"/>
    <col min="9718" max="9719" width="9" style="5"/>
    <col min="9720" max="9720" width="27.5" style="5" customWidth="1"/>
    <col min="9721" max="9722" width="9" style="5"/>
    <col min="9723" max="9723" width="27.5" style="5" customWidth="1"/>
    <col min="9724" max="9725" width="9" style="5"/>
    <col min="9726" max="9726" width="27.5" style="5" customWidth="1"/>
    <col min="9727" max="9728" width="9" style="5"/>
    <col min="9729" max="9729" width="27.5" style="5" customWidth="1"/>
    <col min="9730" max="9731" width="9" style="5"/>
    <col min="9732" max="9732" width="27.5" style="5" customWidth="1"/>
    <col min="9733" max="9733" width="9" style="5"/>
    <col min="9734" max="9734" width="9.625" style="5" customWidth="1"/>
    <col min="9735" max="9735" width="10.5" style="5" customWidth="1"/>
    <col min="9736" max="9956" width="9" style="5"/>
    <col min="9957" max="9957" width="21.25" style="5" customWidth="1"/>
    <col min="9958" max="9958" width="6.125" style="5" customWidth="1"/>
    <col min="9959" max="9959" width="8.625" style="5" customWidth="1"/>
    <col min="9960" max="9961" width="9" style="5" hidden="1" customWidth="1"/>
    <col min="9962" max="9962" width="6.375" style="5" customWidth="1"/>
    <col min="9963" max="9963" width="9" style="5"/>
    <col min="9964" max="9964" width="27.5" style="5" customWidth="1"/>
    <col min="9965" max="9965" width="8.875" style="5" customWidth="1"/>
    <col min="9966" max="9966" width="9" style="5"/>
    <col min="9967" max="9967" width="27.5" style="5" customWidth="1"/>
    <col min="9968" max="9969" width="9" style="5"/>
    <col min="9970" max="9970" width="27.5" style="5" customWidth="1"/>
    <col min="9971" max="9972" width="9" style="5"/>
    <col min="9973" max="9973" width="27.5" style="5" customWidth="1"/>
    <col min="9974" max="9975" width="9" style="5"/>
    <col min="9976" max="9976" width="27.5" style="5" customWidth="1"/>
    <col min="9977" max="9978" width="9" style="5"/>
    <col min="9979" max="9979" width="27.5" style="5" customWidth="1"/>
    <col min="9980" max="9981" width="9" style="5"/>
    <col min="9982" max="9982" width="27.5" style="5" customWidth="1"/>
    <col min="9983" max="9984" width="9" style="5"/>
    <col min="9985" max="9985" width="27.5" style="5" customWidth="1"/>
    <col min="9986" max="9987" width="9" style="5"/>
    <col min="9988" max="9988" width="27.5" style="5" customWidth="1"/>
    <col min="9989" max="9989" width="9" style="5"/>
    <col min="9990" max="9990" width="9.625" style="5" customWidth="1"/>
    <col min="9991" max="9991" width="10.5" style="5" customWidth="1"/>
    <col min="9992" max="10212" width="9" style="5"/>
    <col min="10213" max="10213" width="21.25" style="5" customWidth="1"/>
    <col min="10214" max="10214" width="6.125" style="5" customWidth="1"/>
    <col min="10215" max="10215" width="8.625" style="5" customWidth="1"/>
    <col min="10216" max="10217" width="9" style="5" hidden="1" customWidth="1"/>
    <col min="10218" max="10218" width="6.375" style="5" customWidth="1"/>
    <col min="10219" max="10219" width="9" style="5"/>
    <col min="10220" max="10220" width="27.5" style="5" customWidth="1"/>
    <col min="10221" max="10221" width="8.875" style="5" customWidth="1"/>
    <col min="10222" max="10222" width="9" style="5"/>
    <col min="10223" max="10223" width="27.5" style="5" customWidth="1"/>
    <col min="10224" max="10225" width="9" style="5"/>
    <col min="10226" max="10226" width="27.5" style="5" customWidth="1"/>
    <col min="10227" max="10228" width="9" style="5"/>
    <col min="10229" max="10229" width="27.5" style="5" customWidth="1"/>
    <col min="10230" max="10231" width="9" style="5"/>
    <col min="10232" max="10232" width="27.5" style="5" customWidth="1"/>
    <col min="10233" max="10234" width="9" style="5"/>
    <col min="10235" max="10235" width="27.5" style="5" customWidth="1"/>
    <col min="10236" max="10237" width="9" style="5"/>
    <col min="10238" max="10238" width="27.5" style="5" customWidth="1"/>
    <col min="10239" max="10240" width="9" style="5"/>
    <col min="10241" max="10241" width="27.5" style="5" customWidth="1"/>
    <col min="10242" max="10243" width="9" style="5"/>
    <col min="10244" max="10244" width="27.5" style="5" customWidth="1"/>
    <col min="10245" max="10245" width="9" style="5"/>
    <col min="10246" max="10246" width="9.625" style="5" customWidth="1"/>
    <col min="10247" max="10247" width="10.5" style="5" customWidth="1"/>
    <col min="10248" max="10468" width="9" style="5"/>
    <col min="10469" max="10469" width="21.25" style="5" customWidth="1"/>
    <col min="10470" max="10470" width="6.125" style="5" customWidth="1"/>
    <col min="10471" max="10471" width="8.625" style="5" customWidth="1"/>
    <col min="10472" max="10473" width="9" style="5" hidden="1" customWidth="1"/>
    <col min="10474" max="10474" width="6.375" style="5" customWidth="1"/>
    <col min="10475" max="10475" width="9" style="5"/>
    <col min="10476" max="10476" width="27.5" style="5" customWidth="1"/>
    <col min="10477" max="10477" width="8.875" style="5" customWidth="1"/>
    <col min="10478" max="10478" width="9" style="5"/>
    <col min="10479" max="10479" width="27.5" style="5" customWidth="1"/>
    <col min="10480" max="10481" width="9" style="5"/>
    <col min="10482" max="10482" width="27.5" style="5" customWidth="1"/>
    <col min="10483" max="10484" width="9" style="5"/>
    <col min="10485" max="10485" width="27.5" style="5" customWidth="1"/>
    <col min="10486" max="10487" width="9" style="5"/>
    <col min="10488" max="10488" width="27.5" style="5" customWidth="1"/>
    <col min="10489" max="10490" width="9" style="5"/>
    <col min="10491" max="10491" width="27.5" style="5" customWidth="1"/>
    <col min="10492" max="10493" width="9" style="5"/>
    <col min="10494" max="10494" width="27.5" style="5" customWidth="1"/>
    <col min="10495" max="10496" width="9" style="5"/>
    <col min="10497" max="10497" width="27.5" style="5" customWidth="1"/>
    <col min="10498" max="10499" width="9" style="5"/>
    <col min="10500" max="10500" width="27.5" style="5" customWidth="1"/>
    <col min="10501" max="10501" width="9" style="5"/>
    <col min="10502" max="10502" width="9.625" style="5" customWidth="1"/>
    <col min="10503" max="10503" width="10.5" style="5" customWidth="1"/>
    <col min="10504" max="10724" width="9" style="5"/>
    <col min="10725" max="10725" width="21.25" style="5" customWidth="1"/>
    <col min="10726" max="10726" width="6.125" style="5" customWidth="1"/>
    <col min="10727" max="10727" width="8.625" style="5" customWidth="1"/>
    <col min="10728" max="10729" width="9" style="5" hidden="1" customWidth="1"/>
    <col min="10730" max="10730" width="6.375" style="5" customWidth="1"/>
    <col min="10731" max="10731" width="9" style="5"/>
    <col min="10732" max="10732" width="27.5" style="5" customWidth="1"/>
    <col min="10733" max="10733" width="8.875" style="5" customWidth="1"/>
    <col min="10734" max="10734" width="9" style="5"/>
    <col min="10735" max="10735" width="27.5" style="5" customWidth="1"/>
    <col min="10736" max="10737" width="9" style="5"/>
    <col min="10738" max="10738" width="27.5" style="5" customWidth="1"/>
    <col min="10739" max="10740" width="9" style="5"/>
    <col min="10741" max="10741" width="27.5" style="5" customWidth="1"/>
    <col min="10742" max="10743" width="9" style="5"/>
    <col min="10744" max="10744" width="27.5" style="5" customWidth="1"/>
    <col min="10745" max="10746" width="9" style="5"/>
    <col min="10747" max="10747" width="27.5" style="5" customWidth="1"/>
    <col min="10748" max="10749" width="9" style="5"/>
    <col min="10750" max="10750" width="27.5" style="5" customWidth="1"/>
    <col min="10751" max="10752" width="9" style="5"/>
    <col min="10753" max="10753" width="27.5" style="5" customWidth="1"/>
    <col min="10754" max="10755" width="9" style="5"/>
    <col min="10756" max="10756" width="27.5" style="5" customWidth="1"/>
    <col min="10757" max="10757" width="9" style="5"/>
    <col min="10758" max="10758" width="9.625" style="5" customWidth="1"/>
    <col min="10759" max="10759" width="10.5" style="5" customWidth="1"/>
    <col min="10760" max="10980" width="9" style="5"/>
    <col min="10981" max="10981" width="21.25" style="5" customWidth="1"/>
    <col min="10982" max="10982" width="6.125" style="5" customWidth="1"/>
    <col min="10983" max="10983" width="8.625" style="5" customWidth="1"/>
    <col min="10984" max="10985" width="9" style="5" hidden="1" customWidth="1"/>
    <col min="10986" max="10986" width="6.375" style="5" customWidth="1"/>
    <col min="10987" max="10987" width="9" style="5"/>
    <col min="10988" max="10988" width="27.5" style="5" customWidth="1"/>
    <col min="10989" max="10989" width="8.875" style="5" customWidth="1"/>
    <col min="10990" max="10990" width="9" style="5"/>
    <col min="10991" max="10991" width="27.5" style="5" customWidth="1"/>
    <col min="10992" max="10993" width="9" style="5"/>
    <col min="10994" max="10994" width="27.5" style="5" customWidth="1"/>
    <col min="10995" max="10996" width="9" style="5"/>
    <col min="10997" max="10997" width="27.5" style="5" customWidth="1"/>
    <col min="10998" max="10999" width="9" style="5"/>
    <col min="11000" max="11000" width="27.5" style="5" customWidth="1"/>
    <col min="11001" max="11002" width="9" style="5"/>
    <col min="11003" max="11003" width="27.5" style="5" customWidth="1"/>
    <col min="11004" max="11005" width="9" style="5"/>
    <col min="11006" max="11006" width="27.5" style="5" customWidth="1"/>
    <col min="11007" max="11008" width="9" style="5"/>
    <col min="11009" max="11009" width="27.5" style="5" customWidth="1"/>
    <col min="11010" max="11011" width="9" style="5"/>
    <col min="11012" max="11012" width="27.5" style="5" customWidth="1"/>
    <col min="11013" max="11013" width="9" style="5"/>
    <col min="11014" max="11014" width="9.625" style="5" customWidth="1"/>
    <col min="11015" max="11015" width="10.5" style="5" customWidth="1"/>
    <col min="11016" max="11236" width="9" style="5"/>
    <col min="11237" max="11237" width="21.25" style="5" customWidth="1"/>
    <col min="11238" max="11238" width="6.125" style="5" customWidth="1"/>
    <col min="11239" max="11239" width="8.625" style="5" customWidth="1"/>
    <col min="11240" max="11241" width="9" style="5" hidden="1" customWidth="1"/>
    <col min="11242" max="11242" width="6.375" style="5" customWidth="1"/>
    <col min="11243" max="11243" width="9" style="5"/>
    <col min="11244" max="11244" width="27.5" style="5" customWidth="1"/>
    <col min="11245" max="11245" width="8.875" style="5" customWidth="1"/>
    <col min="11246" max="11246" width="9" style="5"/>
    <col min="11247" max="11247" width="27.5" style="5" customWidth="1"/>
    <col min="11248" max="11249" width="9" style="5"/>
    <col min="11250" max="11250" width="27.5" style="5" customWidth="1"/>
    <col min="11251" max="11252" width="9" style="5"/>
    <col min="11253" max="11253" width="27.5" style="5" customWidth="1"/>
    <col min="11254" max="11255" width="9" style="5"/>
    <col min="11256" max="11256" width="27.5" style="5" customWidth="1"/>
    <col min="11257" max="11258" width="9" style="5"/>
    <col min="11259" max="11259" width="27.5" style="5" customWidth="1"/>
    <col min="11260" max="11261" width="9" style="5"/>
    <col min="11262" max="11262" width="27.5" style="5" customWidth="1"/>
    <col min="11263" max="11264" width="9" style="5"/>
    <col min="11265" max="11265" width="27.5" style="5" customWidth="1"/>
    <col min="11266" max="11267" width="9" style="5"/>
    <col min="11268" max="11268" width="27.5" style="5" customWidth="1"/>
    <col min="11269" max="11269" width="9" style="5"/>
    <col min="11270" max="11270" width="9.625" style="5" customWidth="1"/>
    <col min="11271" max="11271" width="10.5" style="5" customWidth="1"/>
    <col min="11272" max="11492" width="9" style="5"/>
    <col min="11493" max="11493" width="21.25" style="5" customWidth="1"/>
    <col min="11494" max="11494" width="6.125" style="5" customWidth="1"/>
    <col min="11495" max="11495" width="8.625" style="5" customWidth="1"/>
    <col min="11496" max="11497" width="9" style="5" hidden="1" customWidth="1"/>
    <col min="11498" max="11498" width="6.375" style="5" customWidth="1"/>
    <col min="11499" max="11499" width="9" style="5"/>
    <col min="11500" max="11500" width="27.5" style="5" customWidth="1"/>
    <col min="11501" max="11501" width="8.875" style="5" customWidth="1"/>
    <col min="11502" max="11502" width="9" style="5"/>
    <col min="11503" max="11503" width="27.5" style="5" customWidth="1"/>
    <col min="11504" max="11505" width="9" style="5"/>
    <col min="11506" max="11506" width="27.5" style="5" customWidth="1"/>
    <col min="11507" max="11508" width="9" style="5"/>
    <col min="11509" max="11509" width="27.5" style="5" customWidth="1"/>
    <col min="11510" max="11511" width="9" style="5"/>
    <col min="11512" max="11512" width="27.5" style="5" customWidth="1"/>
    <col min="11513" max="11514" width="9" style="5"/>
    <col min="11515" max="11515" width="27.5" style="5" customWidth="1"/>
    <col min="11516" max="11517" width="9" style="5"/>
    <col min="11518" max="11518" width="27.5" style="5" customWidth="1"/>
    <col min="11519" max="11520" width="9" style="5"/>
    <col min="11521" max="11521" width="27.5" style="5" customWidth="1"/>
    <col min="11522" max="11523" width="9" style="5"/>
    <col min="11524" max="11524" width="27.5" style="5" customWidth="1"/>
    <col min="11525" max="11525" width="9" style="5"/>
    <col min="11526" max="11526" width="9.625" style="5" customWidth="1"/>
    <col min="11527" max="11527" width="10.5" style="5" customWidth="1"/>
    <col min="11528" max="11748" width="9" style="5"/>
    <col min="11749" max="11749" width="21.25" style="5" customWidth="1"/>
    <col min="11750" max="11750" width="6.125" style="5" customWidth="1"/>
    <col min="11751" max="11751" width="8.625" style="5" customWidth="1"/>
    <col min="11752" max="11753" width="9" style="5" hidden="1" customWidth="1"/>
    <col min="11754" max="11754" width="6.375" style="5" customWidth="1"/>
    <col min="11755" max="11755" width="9" style="5"/>
    <col min="11756" max="11756" width="27.5" style="5" customWidth="1"/>
    <col min="11757" max="11757" width="8.875" style="5" customWidth="1"/>
    <col min="11758" max="11758" width="9" style="5"/>
    <col min="11759" max="11759" width="27.5" style="5" customWidth="1"/>
    <col min="11760" max="11761" width="9" style="5"/>
    <col min="11762" max="11762" width="27.5" style="5" customWidth="1"/>
    <col min="11763" max="11764" width="9" style="5"/>
    <col min="11765" max="11765" width="27.5" style="5" customWidth="1"/>
    <col min="11766" max="11767" width="9" style="5"/>
    <col min="11768" max="11768" width="27.5" style="5" customWidth="1"/>
    <col min="11769" max="11770" width="9" style="5"/>
    <col min="11771" max="11771" width="27.5" style="5" customWidth="1"/>
    <col min="11772" max="11773" width="9" style="5"/>
    <col min="11774" max="11774" width="27.5" style="5" customWidth="1"/>
    <col min="11775" max="11776" width="9" style="5"/>
    <col min="11777" max="11777" width="27.5" style="5" customWidth="1"/>
    <col min="11778" max="11779" width="9" style="5"/>
    <col min="11780" max="11780" width="27.5" style="5" customWidth="1"/>
    <col min="11781" max="11781" width="9" style="5"/>
    <col min="11782" max="11782" width="9.625" style="5" customWidth="1"/>
    <col min="11783" max="11783" width="10.5" style="5" customWidth="1"/>
    <col min="11784" max="12004" width="9" style="5"/>
    <col min="12005" max="12005" width="21.25" style="5" customWidth="1"/>
    <col min="12006" max="12006" width="6.125" style="5" customWidth="1"/>
    <col min="12007" max="12007" width="8.625" style="5" customWidth="1"/>
    <col min="12008" max="12009" width="9" style="5" hidden="1" customWidth="1"/>
    <col min="12010" max="12010" width="6.375" style="5" customWidth="1"/>
    <col min="12011" max="12011" width="9" style="5"/>
    <col min="12012" max="12012" width="27.5" style="5" customWidth="1"/>
    <col min="12013" max="12013" width="8.875" style="5" customWidth="1"/>
    <col min="12014" max="12014" width="9" style="5"/>
    <col min="12015" max="12015" width="27.5" style="5" customWidth="1"/>
    <col min="12016" max="12017" width="9" style="5"/>
    <col min="12018" max="12018" width="27.5" style="5" customWidth="1"/>
    <col min="12019" max="12020" width="9" style="5"/>
    <col min="12021" max="12021" width="27.5" style="5" customWidth="1"/>
    <col min="12022" max="12023" width="9" style="5"/>
    <col min="12024" max="12024" width="27.5" style="5" customWidth="1"/>
    <col min="12025" max="12026" width="9" style="5"/>
    <col min="12027" max="12027" width="27.5" style="5" customWidth="1"/>
    <col min="12028" max="12029" width="9" style="5"/>
    <col min="12030" max="12030" width="27.5" style="5" customWidth="1"/>
    <col min="12031" max="12032" width="9" style="5"/>
    <col min="12033" max="12033" width="27.5" style="5" customWidth="1"/>
    <col min="12034" max="12035" width="9" style="5"/>
    <col min="12036" max="12036" width="27.5" style="5" customWidth="1"/>
    <col min="12037" max="12037" width="9" style="5"/>
    <col min="12038" max="12038" width="9.625" style="5" customWidth="1"/>
    <col min="12039" max="12039" width="10.5" style="5" customWidth="1"/>
    <col min="12040" max="12260" width="9" style="5"/>
    <col min="12261" max="12261" width="21.25" style="5" customWidth="1"/>
    <col min="12262" max="12262" width="6.125" style="5" customWidth="1"/>
    <col min="12263" max="12263" width="8.625" style="5" customWidth="1"/>
    <col min="12264" max="12265" width="9" style="5" hidden="1" customWidth="1"/>
    <col min="12266" max="12266" width="6.375" style="5" customWidth="1"/>
    <col min="12267" max="12267" width="9" style="5"/>
    <col min="12268" max="12268" width="27.5" style="5" customWidth="1"/>
    <col min="12269" max="12269" width="8.875" style="5" customWidth="1"/>
    <col min="12270" max="12270" width="9" style="5"/>
    <col min="12271" max="12271" width="27.5" style="5" customWidth="1"/>
    <col min="12272" max="12273" width="9" style="5"/>
    <col min="12274" max="12274" width="27.5" style="5" customWidth="1"/>
    <col min="12275" max="12276" width="9" style="5"/>
    <col min="12277" max="12277" width="27.5" style="5" customWidth="1"/>
    <col min="12278" max="12279" width="9" style="5"/>
    <col min="12280" max="12280" width="27.5" style="5" customWidth="1"/>
    <col min="12281" max="12282" width="9" style="5"/>
    <col min="12283" max="12283" width="27.5" style="5" customWidth="1"/>
    <col min="12284" max="12285" width="9" style="5"/>
    <col min="12286" max="12286" width="27.5" style="5" customWidth="1"/>
    <col min="12287" max="12288" width="9" style="5"/>
    <col min="12289" max="12289" width="27.5" style="5" customWidth="1"/>
    <col min="12290" max="12291" width="9" style="5"/>
    <col min="12292" max="12292" width="27.5" style="5" customWidth="1"/>
    <col min="12293" max="12293" width="9" style="5"/>
    <col min="12294" max="12294" width="9.625" style="5" customWidth="1"/>
    <col min="12295" max="12295" width="10.5" style="5" customWidth="1"/>
    <col min="12296" max="12516" width="9" style="5"/>
    <col min="12517" max="12517" width="21.25" style="5" customWidth="1"/>
    <col min="12518" max="12518" width="6.125" style="5" customWidth="1"/>
    <col min="12519" max="12519" width="8.625" style="5" customWidth="1"/>
    <col min="12520" max="12521" width="9" style="5" hidden="1" customWidth="1"/>
    <col min="12522" max="12522" width="6.375" style="5" customWidth="1"/>
    <col min="12523" max="12523" width="9" style="5"/>
    <col min="12524" max="12524" width="27.5" style="5" customWidth="1"/>
    <col min="12525" max="12525" width="8.875" style="5" customWidth="1"/>
    <col min="12526" max="12526" width="9" style="5"/>
    <col min="12527" max="12527" width="27.5" style="5" customWidth="1"/>
    <col min="12528" max="12529" width="9" style="5"/>
    <col min="12530" max="12530" width="27.5" style="5" customWidth="1"/>
    <col min="12531" max="12532" width="9" style="5"/>
    <col min="12533" max="12533" width="27.5" style="5" customWidth="1"/>
    <col min="12534" max="12535" width="9" style="5"/>
    <col min="12536" max="12536" width="27.5" style="5" customWidth="1"/>
    <col min="12537" max="12538" width="9" style="5"/>
    <col min="12539" max="12539" width="27.5" style="5" customWidth="1"/>
    <col min="12540" max="12541" width="9" style="5"/>
    <col min="12542" max="12542" width="27.5" style="5" customWidth="1"/>
    <col min="12543" max="12544" width="9" style="5"/>
    <col min="12545" max="12545" width="27.5" style="5" customWidth="1"/>
    <col min="12546" max="12547" width="9" style="5"/>
    <col min="12548" max="12548" width="27.5" style="5" customWidth="1"/>
    <col min="12549" max="12549" width="9" style="5"/>
    <col min="12550" max="12550" width="9.625" style="5" customWidth="1"/>
    <col min="12551" max="12551" width="10.5" style="5" customWidth="1"/>
    <col min="12552" max="12772" width="9" style="5"/>
    <col min="12773" max="12773" width="21.25" style="5" customWidth="1"/>
    <col min="12774" max="12774" width="6.125" style="5" customWidth="1"/>
    <col min="12775" max="12775" width="8.625" style="5" customWidth="1"/>
    <col min="12776" max="12777" width="9" style="5" hidden="1" customWidth="1"/>
    <col min="12778" max="12778" width="6.375" style="5" customWidth="1"/>
    <col min="12779" max="12779" width="9" style="5"/>
    <col min="12780" max="12780" width="27.5" style="5" customWidth="1"/>
    <col min="12781" max="12781" width="8.875" style="5" customWidth="1"/>
    <col min="12782" max="12782" width="9" style="5"/>
    <col min="12783" max="12783" width="27.5" style="5" customWidth="1"/>
    <col min="12784" max="12785" width="9" style="5"/>
    <col min="12786" max="12786" width="27.5" style="5" customWidth="1"/>
    <col min="12787" max="12788" width="9" style="5"/>
    <col min="12789" max="12789" width="27.5" style="5" customWidth="1"/>
    <col min="12790" max="12791" width="9" style="5"/>
    <col min="12792" max="12792" width="27.5" style="5" customWidth="1"/>
    <col min="12793" max="12794" width="9" style="5"/>
    <col min="12795" max="12795" width="27.5" style="5" customWidth="1"/>
    <col min="12796" max="12797" width="9" style="5"/>
    <col min="12798" max="12798" width="27.5" style="5" customWidth="1"/>
    <col min="12799" max="12800" width="9" style="5"/>
    <col min="12801" max="12801" width="27.5" style="5" customWidth="1"/>
    <col min="12802" max="12803" width="9" style="5"/>
    <col min="12804" max="12804" width="27.5" style="5" customWidth="1"/>
    <col min="12805" max="12805" width="9" style="5"/>
    <col min="12806" max="12806" width="9.625" style="5" customWidth="1"/>
    <col min="12807" max="12807" width="10.5" style="5" customWidth="1"/>
    <col min="12808" max="13028" width="9" style="5"/>
    <col min="13029" max="13029" width="21.25" style="5" customWidth="1"/>
    <col min="13030" max="13030" width="6.125" style="5" customWidth="1"/>
    <col min="13031" max="13031" width="8.625" style="5" customWidth="1"/>
    <col min="13032" max="13033" width="9" style="5" hidden="1" customWidth="1"/>
    <col min="13034" max="13034" width="6.375" style="5" customWidth="1"/>
    <col min="13035" max="13035" width="9" style="5"/>
    <col min="13036" max="13036" width="27.5" style="5" customWidth="1"/>
    <col min="13037" max="13037" width="8.875" style="5" customWidth="1"/>
    <col min="13038" max="13038" width="9" style="5"/>
    <col min="13039" max="13039" width="27.5" style="5" customWidth="1"/>
    <col min="13040" max="13041" width="9" style="5"/>
    <col min="13042" max="13042" width="27.5" style="5" customWidth="1"/>
    <col min="13043" max="13044" width="9" style="5"/>
    <col min="13045" max="13045" width="27.5" style="5" customWidth="1"/>
    <col min="13046" max="13047" width="9" style="5"/>
    <col min="13048" max="13048" width="27.5" style="5" customWidth="1"/>
    <col min="13049" max="13050" width="9" style="5"/>
    <col min="13051" max="13051" width="27.5" style="5" customWidth="1"/>
    <col min="13052" max="13053" width="9" style="5"/>
    <col min="13054" max="13054" width="27.5" style="5" customWidth="1"/>
    <col min="13055" max="13056" width="9" style="5"/>
    <col min="13057" max="13057" width="27.5" style="5" customWidth="1"/>
    <col min="13058" max="13059" width="9" style="5"/>
    <col min="13060" max="13060" width="27.5" style="5" customWidth="1"/>
    <col min="13061" max="13061" width="9" style="5"/>
    <col min="13062" max="13062" width="9.625" style="5" customWidth="1"/>
    <col min="13063" max="13063" width="10.5" style="5" customWidth="1"/>
    <col min="13064" max="13284" width="9" style="5"/>
    <col min="13285" max="13285" width="21.25" style="5" customWidth="1"/>
    <col min="13286" max="13286" width="6.125" style="5" customWidth="1"/>
    <col min="13287" max="13287" width="8.625" style="5" customWidth="1"/>
    <col min="13288" max="13289" width="9" style="5" hidden="1" customWidth="1"/>
    <col min="13290" max="13290" width="6.375" style="5" customWidth="1"/>
    <col min="13291" max="13291" width="9" style="5"/>
    <col min="13292" max="13292" width="27.5" style="5" customWidth="1"/>
    <col min="13293" max="13293" width="8.875" style="5" customWidth="1"/>
    <col min="13294" max="13294" width="9" style="5"/>
    <col min="13295" max="13295" width="27.5" style="5" customWidth="1"/>
    <col min="13296" max="13297" width="9" style="5"/>
    <col min="13298" max="13298" width="27.5" style="5" customWidth="1"/>
    <col min="13299" max="13300" width="9" style="5"/>
    <col min="13301" max="13301" width="27.5" style="5" customWidth="1"/>
    <col min="13302" max="13303" width="9" style="5"/>
    <col min="13304" max="13304" width="27.5" style="5" customWidth="1"/>
    <col min="13305" max="13306" width="9" style="5"/>
    <col min="13307" max="13307" width="27.5" style="5" customWidth="1"/>
    <col min="13308" max="13309" width="9" style="5"/>
    <col min="13310" max="13310" width="27.5" style="5" customWidth="1"/>
    <col min="13311" max="13312" width="9" style="5"/>
    <col min="13313" max="13313" width="27.5" style="5" customWidth="1"/>
    <col min="13314" max="13315" width="9" style="5"/>
    <col min="13316" max="13316" width="27.5" style="5" customWidth="1"/>
    <col min="13317" max="13317" width="9" style="5"/>
    <col min="13318" max="13318" width="9.625" style="5" customWidth="1"/>
    <col min="13319" max="13319" width="10.5" style="5" customWidth="1"/>
    <col min="13320" max="13540" width="9" style="5"/>
    <col min="13541" max="13541" width="21.25" style="5" customWidth="1"/>
    <col min="13542" max="13542" width="6.125" style="5" customWidth="1"/>
    <col min="13543" max="13543" width="8.625" style="5" customWidth="1"/>
    <col min="13544" max="13545" width="9" style="5" hidden="1" customWidth="1"/>
    <col min="13546" max="13546" width="6.375" style="5" customWidth="1"/>
    <col min="13547" max="13547" width="9" style="5"/>
    <col min="13548" max="13548" width="27.5" style="5" customWidth="1"/>
    <col min="13549" max="13549" width="8.875" style="5" customWidth="1"/>
    <col min="13550" max="13550" width="9" style="5"/>
    <col min="13551" max="13551" width="27.5" style="5" customWidth="1"/>
    <col min="13552" max="13553" width="9" style="5"/>
    <col min="13554" max="13554" width="27.5" style="5" customWidth="1"/>
    <col min="13555" max="13556" width="9" style="5"/>
    <col min="13557" max="13557" width="27.5" style="5" customWidth="1"/>
    <col min="13558" max="13559" width="9" style="5"/>
    <col min="13560" max="13560" width="27.5" style="5" customWidth="1"/>
    <col min="13561" max="13562" width="9" style="5"/>
    <col min="13563" max="13563" width="27.5" style="5" customWidth="1"/>
    <col min="13564" max="13565" width="9" style="5"/>
    <col min="13566" max="13566" width="27.5" style="5" customWidth="1"/>
    <col min="13567" max="13568" width="9" style="5"/>
    <col min="13569" max="13569" width="27.5" style="5" customWidth="1"/>
    <col min="13570" max="13571" width="9" style="5"/>
    <col min="13572" max="13572" width="27.5" style="5" customWidth="1"/>
    <col min="13573" max="13573" width="9" style="5"/>
    <col min="13574" max="13574" width="9.625" style="5" customWidth="1"/>
    <col min="13575" max="13575" width="10.5" style="5" customWidth="1"/>
    <col min="13576" max="13796" width="9" style="5"/>
    <col min="13797" max="13797" width="21.25" style="5" customWidth="1"/>
    <col min="13798" max="13798" width="6.125" style="5" customWidth="1"/>
    <col min="13799" max="13799" width="8.625" style="5" customWidth="1"/>
    <col min="13800" max="13801" width="9" style="5" hidden="1" customWidth="1"/>
    <col min="13802" max="13802" width="6.375" style="5" customWidth="1"/>
    <col min="13803" max="13803" width="9" style="5"/>
    <col min="13804" max="13804" width="27.5" style="5" customWidth="1"/>
    <col min="13805" max="13805" width="8.875" style="5" customWidth="1"/>
    <col min="13806" max="13806" width="9" style="5"/>
    <col min="13807" max="13807" width="27.5" style="5" customWidth="1"/>
    <col min="13808" max="13809" width="9" style="5"/>
    <col min="13810" max="13810" width="27.5" style="5" customWidth="1"/>
    <col min="13811" max="13812" width="9" style="5"/>
    <col min="13813" max="13813" width="27.5" style="5" customWidth="1"/>
    <col min="13814" max="13815" width="9" style="5"/>
    <col min="13816" max="13816" width="27.5" style="5" customWidth="1"/>
    <col min="13817" max="13818" width="9" style="5"/>
    <col min="13819" max="13819" width="27.5" style="5" customWidth="1"/>
    <col min="13820" max="13821" width="9" style="5"/>
    <col min="13822" max="13822" width="27.5" style="5" customWidth="1"/>
    <col min="13823" max="13824" width="9" style="5"/>
    <col min="13825" max="13825" width="27.5" style="5" customWidth="1"/>
    <col min="13826" max="13827" width="9" style="5"/>
    <col min="13828" max="13828" width="27.5" style="5" customWidth="1"/>
    <col min="13829" max="13829" width="9" style="5"/>
    <col min="13830" max="13830" width="9.625" style="5" customWidth="1"/>
    <col min="13831" max="13831" width="10.5" style="5" customWidth="1"/>
    <col min="13832" max="14052" width="9" style="5"/>
    <col min="14053" max="14053" width="21.25" style="5" customWidth="1"/>
    <col min="14054" max="14054" width="6.125" style="5" customWidth="1"/>
    <col min="14055" max="14055" width="8.625" style="5" customWidth="1"/>
    <col min="14056" max="14057" width="9" style="5" hidden="1" customWidth="1"/>
    <col min="14058" max="14058" width="6.375" style="5" customWidth="1"/>
    <col min="14059" max="14059" width="9" style="5"/>
    <col min="14060" max="14060" width="27.5" style="5" customWidth="1"/>
    <col min="14061" max="14061" width="8.875" style="5" customWidth="1"/>
    <col min="14062" max="14062" width="9" style="5"/>
    <col min="14063" max="14063" width="27.5" style="5" customWidth="1"/>
    <col min="14064" max="14065" width="9" style="5"/>
    <col min="14066" max="14066" width="27.5" style="5" customWidth="1"/>
    <col min="14067" max="14068" width="9" style="5"/>
    <col min="14069" max="14069" width="27.5" style="5" customWidth="1"/>
    <col min="14070" max="14071" width="9" style="5"/>
    <col min="14072" max="14072" width="27.5" style="5" customWidth="1"/>
    <col min="14073" max="14074" width="9" style="5"/>
    <col min="14075" max="14075" width="27.5" style="5" customWidth="1"/>
    <col min="14076" max="14077" width="9" style="5"/>
    <col min="14078" max="14078" width="27.5" style="5" customWidth="1"/>
    <col min="14079" max="14080" width="9" style="5"/>
    <col min="14081" max="14081" width="27.5" style="5" customWidth="1"/>
    <col min="14082" max="14083" width="9" style="5"/>
    <col min="14084" max="14084" width="27.5" style="5" customWidth="1"/>
    <col min="14085" max="14085" width="9" style="5"/>
    <col min="14086" max="14086" width="9.625" style="5" customWidth="1"/>
    <col min="14087" max="14087" width="10.5" style="5" customWidth="1"/>
    <col min="14088" max="14308" width="9" style="5"/>
    <col min="14309" max="14309" width="21.25" style="5" customWidth="1"/>
    <col min="14310" max="14310" width="6.125" style="5" customWidth="1"/>
    <col min="14311" max="14311" width="8.625" style="5" customWidth="1"/>
    <col min="14312" max="14313" width="9" style="5" hidden="1" customWidth="1"/>
    <col min="14314" max="14314" width="6.375" style="5" customWidth="1"/>
    <col min="14315" max="14315" width="9" style="5"/>
    <col min="14316" max="14316" width="27.5" style="5" customWidth="1"/>
    <col min="14317" max="14317" width="8.875" style="5" customWidth="1"/>
    <col min="14318" max="14318" width="9" style="5"/>
    <col min="14319" max="14319" width="27.5" style="5" customWidth="1"/>
    <col min="14320" max="14321" width="9" style="5"/>
    <col min="14322" max="14322" width="27.5" style="5" customWidth="1"/>
    <col min="14323" max="14324" width="9" style="5"/>
    <col min="14325" max="14325" width="27.5" style="5" customWidth="1"/>
    <col min="14326" max="14327" width="9" style="5"/>
    <col min="14328" max="14328" width="27.5" style="5" customWidth="1"/>
    <col min="14329" max="14330" width="9" style="5"/>
    <col min="14331" max="14331" width="27.5" style="5" customWidth="1"/>
    <col min="14332" max="14333" width="9" style="5"/>
    <col min="14334" max="14334" width="27.5" style="5" customWidth="1"/>
    <col min="14335" max="14336" width="9" style="5"/>
    <col min="14337" max="14337" width="27.5" style="5" customWidth="1"/>
    <col min="14338" max="14339" width="9" style="5"/>
    <col min="14340" max="14340" width="27.5" style="5" customWidth="1"/>
    <col min="14341" max="14341" width="9" style="5"/>
    <col min="14342" max="14342" width="9.625" style="5" customWidth="1"/>
    <col min="14343" max="14343" width="10.5" style="5" customWidth="1"/>
    <col min="14344" max="14564" width="9" style="5"/>
    <col min="14565" max="14565" width="21.25" style="5" customWidth="1"/>
    <col min="14566" max="14566" width="6.125" style="5" customWidth="1"/>
    <col min="14567" max="14567" width="8.625" style="5" customWidth="1"/>
    <col min="14568" max="14569" width="9" style="5" hidden="1" customWidth="1"/>
    <col min="14570" max="14570" width="6.375" style="5" customWidth="1"/>
    <col min="14571" max="14571" width="9" style="5"/>
    <col min="14572" max="14572" width="27.5" style="5" customWidth="1"/>
    <col min="14573" max="14573" width="8.875" style="5" customWidth="1"/>
    <col min="14574" max="14574" width="9" style="5"/>
    <col min="14575" max="14575" width="27.5" style="5" customWidth="1"/>
    <col min="14576" max="14577" width="9" style="5"/>
    <col min="14578" max="14578" width="27.5" style="5" customWidth="1"/>
    <col min="14579" max="14580" width="9" style="5"/>
    <col min="14581" max="14581" width="27.5" style="5" customWidth="1"/>
    <col min="14582" max="14583" width="9" style="5"/>
    <col min="14584" max="14584" width="27.5" style="5" customWidth="1"/>
    <col min="14585" max="14586" width="9" style="5"/>
    <col min="14587" max="14587" width="27.5" style="5" customWidth="1"/>
    <col min="14588" max="14589" width="9" style="5"/>
    <col min="14590" max="14590" width="27.5" style="5" customWidth="1"/>
    <col min="14591" max="14592" width="9" style="5"/>
    <col min="14593" max="14593" width="27.5" style="5" customWidth="1"/>
    <col min="14594" max="14595" width="9" style="5"/>
    <col min="14596" max="14596" width="27.5" style="5" customWidth="1"/>
    <col min="14597" max="14597" width="9" style="5"/>
    <col min="14598" max="14598" width="9.625" style="5" customWidth="1"/>
    <col min="14599" max="14599" width="10.5" style="5" customWidth="1"/>
    <col min="14600" max="14820" width="9" style="5"/>
    <col min="14821" max="14821" width="21.25" style="5" customWidth="1"/>
    <col min="14822" max="14822" width="6.125" style="5" customWidth="1"/>
    <col min="14823" max="14823" width="8.625" style="5" customWidth="1"/>
    <col min="14824" max="14825" width="9" style="5" hidden="1" customWidth="1"/>
    <col min="14826" max="14826" width="6.375" style="5" customWidth="1"/>
    <col min="14827" max="14827" width="9" style="5"/>
    <col min="14828" max="14828" width="27.5" style="5" customWidth="1"/>
    <col min="14829" max="14829" width="8.875" style="5" customWidth="1"/>
    <col min="14830" max="14830" width="9" style="5"/>
    <col min="14831" max="14831" width="27.5" style="5" customWidth="1"/>
    <col min="14832" max="14833" width="9" style="5"/>
    <col min="14834" max="14834" width="27.5" style="5" customWidth="1"/>
    <col min="14835" max="14836" width="9" style="5"/>
    <col min="14837" max="14837" width="27.5" style="5" customWidth="1"/>
    <col min="14838" max="14839" width="9" style="5"/>
    <col min="14840" max="14840" width="27.5" style="5" customWidth="1"/>
    <col min="14841" max="14842" width="9" style="5"/>
    <col min="14843" max="14843" width="27.5" style="5" customWidth="1"/>
    <col min="14844" max="14845" width="9" style="5"/>
    <col min="14846" max="14846" width="27.5" style="5" customWidth="1"/>
    <col min="14847" max="14848" width="9" style="5"/>
    <col min="14849" max="14849" width="27.5" style="5" customWidth="1"/>
    <col min="14850" max="14851" width="9" style="5"/>
    <col min="14852" max="14852" width="27.5" style="5" customWidth="1"/>
    <col min="14853" max="14853" width="9" style="5"/>
    <col min="14854" max="14854" width="9.625" style="5" customWidth="1"/>
    <col min="14855" max="14855" width="10.5" style="5" customWidth="1"/>
    <col min="14856" max="15076" width="9" style="5"/>
    <col min="15077" max="15077" width="21.25" style="5" customWidth="1"/>
    <col min="15078" max="15078" width="6.125" style="5" customWidth="1"/>
    <col min="15079" max="15079" width="8.625" style="5" customWidth="1"/>
    <col min="15080" max="15081" width="9" style="5" hidden="1" customWidth="1"/>
    <col min="15082" max="15082" width="6.375" style="5" customWidth="1"/>
    <col min="15083" max="15083" width="9" style="5"/>
    <col min="15084" max="15084" width="27.5" style="5" customWidth="1"/>
    <col min="15085" max="15085" width="8.875" style="5" customWidth="1"/>
    <col min="15086" max="15086" width="9" style="5"/>
    <col min="15087" max="15087" width="27.5" style="5" customWidth="1"/>
    <col min="15088" max="15089" width="9" style="5"/>
    <col min="15090" max="15090" width="27.5" style="5" customWidth="1"/>
    <col min="15091" max="15092" width="9" style="5"/>
    <col min="15093" max="15093" width="27.5" style="5" customWidth="1"/>
    <col min="15094" max="15095" width="9" style="5"/>
    <col min="15096" max="15096" width="27.5" style="5" customWidth="1"/>
    <col min="15097" max="15098" width="9" style="5"/>
    <col min="15099" max="15099" width="27.5" style="5" customWidth="1"/>
    <col min="15100" max="15101" width="9" style="5"/>
    <col min="15102" max="15102" width="27.5" style="5" customWidth="1"/>
    <col min="15103" max="15104" width="9" style="5"/>
    <col min="15105" max="15105" width="27.5" style="5" customWidth="1"/>
    <col min="15106" max="15107" width="9" style="5"/>
    <col min="15108" max="15108" width="27.5" style="5" customWidth="1"/>
    <col min="15109" max="15109" width="9" style="5"/>
    <col min="15110" max="15110" width="9.625" style="5" customWidth="1"/>
    <col min="15111" max="15111" width="10.5" style="5" customWidth="1"/>
    <col min="15112" max="15332" width="9" style="5"/>
    <col min="15333" max="15333" width="21.25" style="5" customWidth="1"/>
    <col min="15334" max="15334" width="6.125" style="5" customWidth="1"/>
    <col min="15335" max="15335" width="8.625" style="5" customWidth="1"/>
    <col min="15336" max="15337" width="9" style="5" hidden="1" customWidth="1"/>
    <col min="15338" max="15338" width="6.375" style="5" customWidth="1"/>
    <col min="15339" max="15339" width="9" style="5"/>
    <col min="15340" max="15340" width="27.5" style="5" customWidth="1"/>
    <col min="15341" max="15341" width="8.875" style="5" customWidth="1"/>
    <col min="15342" max="15342" width="9" style="5"/>
    <col min="15343" max="15343" width="27.5" style="5" customWidth="1"/>
    <col min="15344" max="15345" width="9" style="5"/>
    <col min="15346" max="15346" width="27.5" style="5" customWidth="1"/>
    <col min="15347" max="15348" width="9" style="5"/>
    <col min="15349" max="15349" width="27.5" style="5" customWidth="1"/>
    <col min="15350" max="15351" width="9" style="5"/>
    <col min="15352" max="15352" width="27.5" style="5" customWidth="1"/>
    <col min="15353" max="15354" width="9" style="5"/>
    <col min="15355" max="15355" width="27.5" style="5" customWidth="1"/>
    <col min="15356" max="15357" width="9" style="5"/>
    <col min="15358" max="15358" width="27.5" style="5" customWidth="1"/>
    <col min="15359" max="15360" width="9" style="5"/>
    <col min="15361" max="15361" width="27.5" style="5" customWidth="1"/>
    <col min="15362" max="15363" width="9" style="5"/>
    <col min="15364" max="15364" width="27.5" style="5" customWidth="1"/>
    <col min="15365" max="15365" width="9" style="5"/>
    <col min="15366" max="15366" width="9.625" style="5" customWidth="1"/>
    <col min="15367" max="15367" width="10.5" style="5" customWidth="1"/>
    <col min="15368" max="15588" width="9" style="5"/>
    <col min="15589" max="15589" width="21.25" style="5" customWidth="1"/>
    <col min="15590" max="15590" width="6.125" style="5" customWidth="1"/>
    <col min="15591" max="15591" width="8.625" style="5" customWidth="1"/>
    <col min="15592" max="15593" width="9" style="5" hidden="1" customWidth="1"/>
    <col min="15594" max="15594" width="6.375" style="5" customWidth="1"/>
    <col min="15595" max="15595" width="9" style="5"/>
    <col min="15596" max="15596" width="27.5" style="5" customWidth="1"/>
    <col min="15597" max="15597" width="8.875" style="5" customWidth="1"/>
    <col min="15598" max="15598" width="9" style="5"/>
    <col min="15599" max="15599" width="27.5" style="5" customWidth="1"/>
    <col min="15600" max="15601" width="9" style="5"/>
    <col min="15602" max="15602" width="27.5" style="5" customWidth="1"/>
    <col min="15603" max="15604" width="9" style="5"/>
    <col min="15605" max="15605" width="27.5" style="5" customWidth="1"/>
    <col min="15606" max="15607" width="9" style="5"/>
    <col min="15608" max="15608" width="27.5" style="5" customWidth="1"/>
    <col min="15609" max="15610" width="9" style="5"/>
    <col min="15611" max="15611" width="27.5" style="5" customWidth="1"/>
    <col min="15612" max="15613" width="9" style="5"/>
    <col min="15614" max="15614" width="27.5" style="5" customWidth="1"/>
    <col min="15615" max="15616" width="9" style="5"/>
    <col min="15617" max="15617" width="27.5" style="5" customWidth="1"/>
    <col min="15618" max="15619" width="9" style="5"/>
    <col min="15620" max="15620" width="27.5" style="5" customWidth="1"/>
    <col min="15621" max="15621" width="9" style="5"/>
    <col min="15622" max="15622" width="9.625" style="5" customWidth="1"/>
    <col min="15623" max="15623" width="10.5" style="5" customWidth="1"/>
    <col min="15624" max="15844" width="9" style="5"/>
    <col min="15845" max="15845" width="21.25" style="5" customWidth="1"/>
    <col min="15846" max="15846" width="6.125" style="5" customWidth="1"/>
    <col min="15847" max="15847" width="8.625" style="5" customWidth="1"/>
    <col min="15848" max="15849" width="9" style="5" hidden="1" customWidth="1"/>
    <col min="15850" max="15850" width="6.375" style="5" customWidth="1"/>
    <col min="15851" max="15851" width="9" style="5"/>
    <col min="15852" max="15852" width="27.5" style="5" customWidth="1"/>
    <col min="15853" max="15853" width="8.875" style="5" customWidth="1"/>
    <col min="15854" max="15854" width="9" style="5"/>
    <col min="15855" max="15855" width="27.5" style="5" customWidth="1"/>
    <col min="15856" max="15857" width="9" style="5"/>
    <col min="15858" max="15858" width="27.5" style="5" customWidth="1"/>
    <col min="15859" max="15860" width="9" style="5"/>
    <col min="15861" max="15861" width="27.5" style="5" customWidth="1"/>
    <col min="15862" max="15863" width="9" style="5"/>
    <col min="15864" max="15864" width="27.5" style="5" customWidth="1"/>
    <col min="15865" max="15866" width="9" style="5"/>
    <col min="15867" max="15867" width="27.5" style="5" customWidth="1"/>
    <col min="15868" max="15869" width="9" style="5"/>
    <col min="15870" max="15870" width="27.5" style="5" customWidth="1"/>
    <col min="15871" max="15872" width="9" style="5"/>
    <col min="15873" max="15873" width="27.5" style="5" customWidth="1"/>
    <col min="15874" max="15875" width="9" style="5"/>
    <col min="15876" max="15876" width="27.5" style="5" customWidth="1"/>
    <col min="15877" max="15877" width="9" style="5"/>
    <col min="15878" max="15878" width="9.625" style="5" customWidth="1"/>
    <col min="15879" max="15879" width="10.5" style="5" customWidth="1"/>
    <col min="15880" max="16100" width="9" style="5"/>
    <col min="16101" max="16101" width="21.25" style="5" customWidth="1"/>
    <col min="16102" max="16102" width="6.125" style="5" customWidth="1"/>
    <col min="16103" max="16103" width="8.625" style="5" customWidth="1"/>
    <col min="16104" max="16105" width="9" style="5" hidden="1" customWidth="1"/>
    <col min="16106" max="16106" width="6.375" style="5" customWidth="1"/>
    <col min="16107" max="16107" width="9" style="5"/>
    <col min="16108" max="16108" width="27.5" style="5" customWidth="1"/>
    <col min="16109" max="16109" width="8.875" style="5" customWidth="1"/>
    <col min="16110" max="16110" width="9" style="5"/>
    <col min="16111" max="16111" width="27.5" style="5" customWidth="1"/>
    <col min="16112" max="16113" width="9" style="5"/>
    <col min="16114" max="16114" width="27.5" style="5" customWidth="1"/>
    <col min="16115" max="16116" width="9" style="5"/>
    <col min="16117" max="16117" width="27.5" style="5" customWidth="1"/>
    <col min="16118" max="16119" width="9" style="5"/>
    <col min="16120" max="16120" width="27.5" style="5" customWidth="1"/>
    <col min="16121" max="16122" width="9" style="5"/>
    <col min="16123" max="16123" width="27.5" style="5" customWidth="1"/>
    <col min="16124" max="16125" width="9" style="5"/>
    <col min="16126" max="16126" width="27.5" style="5" customWidth="1"/>
    <col min="16127" max="16128" width="9" style="5"/>
    <col min="16129" max="16129" width="27.5" style="5" customWidth="1"/>
    <col min="16130" max="16131" width="9" style="5"/>
    <col min="16132" max="16132" width="27.5" style="5" customWidth="1"/>
    <col min="16133" max="16133" width="9" style="5"/>
    <col min="16134" max="16134" width="9.625" style="5" customWidth="1"/>
    <col min="16135" max="16135" width="10.5" style="5" customWidth="1"/>
    <col min="16136" max="16384" width="9" style="5"/>
  </cols>
  <sheetData>
    <row r="1" ht="29.25" customHeight="1" spans="1:15">
      <c r="A1" s="6" t="s">
        <v>0</v>
      </c>
      <c r="B1" s="7"/>
      <c r="C1" s="7"/>
      <c r="D1" s="7"/>
      <c r="E1" s="8"/>
      <c r="F1" s="8"/>
      <c r="G1" s="9" t="s">
        <v>1</v>
      </c>
      <c r="H1" s="9" t="s">
        <v>2</v>
      </c>
      <c r="I1" s="5" t="s">
        <v>3</v>
      </c>
      <c r="J1" s="5" t="s">
        <v>4</v>
      </c>
      <c r="K1" s="5" t="s">
        <v>5</v>
      </c>
      <c r="L1" s="5" t="s">
        <v>6</v>
      </c>
      <c r="M1" s="5" t="s">
        <v>7</v>
      </c>
      <c r="N1" s="5" t="s">
        <v>8</v>
      </c>
      <c r="O1" s="5" t="s">
        <v>9</v>
      </c>
    </row>
    <row r="2" ht="21.75" customHeight="1" spans="1:15">
      <c r="A2" s="10" t="s">
        <v>10</v>
      </c>
      <c r="B2" s="11" t="s">
        <v>11</v>
      </c>
      <c r="C2" s="10" t="s">
        <v>12</v>
      </c>
      <c r="D2" s="10" t="s">
        <v>13</v>
      </c>
      <c r="E2" s="10" t="s">
        <v>14</v>
      </c>
      <c r="F2" s="10" t="s">
        <v>15</v>
      </c>
      <c r="G2" s="4" t="s">
        <v>13</v>
      </c>
      <c r="H2" s="4" t="s">
        <v>13</v>
      </c>
      <c r="I2" s="4" t="s">
        <v>13</v>
      </c>
      <c r="J2" s="4" t="s">
        <v>13</v>
      </c>
      <c r="K2" s="4" t="s">
        <v>13</v>
      </c>
      <c r="L2" s="4" t="s">
        <v>13</v>
      </c>
      <c r="M2" s="4" t="s">
        <v>13</v>
      </c>
      <c r="N2" s="4" t="s">
        <v>13</v>
      </c>
      <c r="O2" s="4" t="s">
        <v>13</v>
      </c>
    </row>
    <row r="3" ht="21.75" customHeight="1" spans="1:15">
      <c r="A3" s="12" t="s">
        <v>16</v>
      </c>
      <c r="B3" s="13" t="s">
        <v>17</v>
      </c>
      <c r="C3" s="14"/>
      <c r="D3" s="15"/>
      <c r="E3" s="16"/>
      <c r="F3" s="17"/>
      <c r="G3" s="18"/>
      <c r="H3" s="19"/>
      <c r="O3" s="19"/>
    </row>
    <row r="4" ht="21.75" customHeight="1" spans="1:15">
      <c r="A4" s="12" t="s">
        <v>18</v>
      </c>
      <c r="B4" s="13" t="s">
        <v>19</v>
      </c>
      <c r="C4" s="14"/>
      <c r="D4" s="15"/>
      <c r="E4" s="16"/>
      <c r="F4" s="17"/>
      <c r="G4" s="18"/>
      <c r="H4" s="19"/>
      <c r="O4" s="19"/>
    </row>
    <row r="5" ht="21.75" customHeight="1" spans="1:15">
      <c r="A5" s="12" t="s">
        <v>20</v>
      </c>
      <c r="B5" s="13" t="s">
        <v>21</v>
      </c>
      <c r="C5" s="14" t="s">
        <v>22</v>
      </c>
      <c r="D5" s="15">
        <f>ROUND(SUM(G5:O5),2)</f>
        <v>78664.1</v>
      </c>
      <c r="E5" s="16"/>
      <c r="F5" s="17"/>
      <c r="G5" s="18">
        <v>14540.2</v>
      </c>
      <c r="H5" s="19">
        <v>13305.7</v>
      </c>
      <c r="I5" s="5">
        <v>10366.6</v>
      </c>
      <c r="J5" s="5">
        <v>11175.3</v>
      </c>
      <c r="K5" s="5">
        <v>26186.5999999999</v>
      </c>
      <c r="L5" s="5">
        <v>806.5</v>
      </c>
      <c r="M5" s="5">
        <v>898.9</v>
      </c>
      <c r="N5" s="5">
        <v>843.4</v>
      </c>
      <c r="O5" s="19">
        <v>540.9</v>
      </c>
    </row>
    <row r="6" ht="21.75" customHeight="1" spans="1:15">
      <c r="A6" s="12" t="s">
        <v>23</v>
      </c>
      <c r="B6" s="13" t="s">
        <v>24</v>
      </c>
      <c r="C6" s="14" t="s">
        <v>22</v>
      </c>
      <c r="D6" s="15">
        <f t="shared" ref="D6:D37" si="0">ROUND(SUM(G6:O6),2)</f>
        <v>1144792</v>
      </c>
      <c r="E6" s="16"/>
      <c r="F6" s="17"/>
      <c r="G6" s="18">
        <v>162349.8</v>
      </c>
      <c r="H6" s="19">
        <v>150385.7</v>
      </c>
      <c r="I6" s="5">
        <v>135058.8</v>
      </c>
      <c r="J6" s="5">
        <v>147872.3</v>
      </c>
      <c r="K6" s="5">
        <v>519695.2</v>
      </c>
      <c r="L6" s="5">
        <v>7892.5</v>
      </c>
      <c r="M6" s="5">
        <v>8999.9</v>
      </c>
      <c r="N6" s="5">
        <v>6979.4</v>
      </c>
      <c r="O6" s="19">
        <v>5558.4</v>
      </c>
    </row>
    <row r="7" ht="21.75" customHeight="1" spans="1:15">
      <c r="A7" s="12" t="s">
        <v>25</v>
      </c>
      <c r="B7" s="13" t="s">
        <v>26</v>
      </c>
      <c r="C7" s="14"/>
      <c r="D7" s="15"/>
      <c r="E7" s="16"/>
      <c r="F7" s="17"/>
      <c r="G7" s="18"/>
      <c r="H7" s="19"/>
      <c r="O7" s="19"/>
    </row>
    <row r="8" ht="21.75" customHeight="1" spans="1:15">
      <c r="A8" s="12" t="s">
        <v>27</v>
      </c>
      <c r="B8" s="13" t="s">
        <v>21</v>
      </c>
      <c r="C8" s="14" t="s">
        <v>22</v>
      </c>
      <c r="D8" s="15">
        <f t="shared" si="0"/>
        <v>28281.5</v>
      </c>
      <c r="E8" s="16"/>
      <c r="F8" s="17"/>
      <c r="G8" s="18">
        <v>8597.9</v>
      </c>
      <c r="H8" s="19">
        <v>8882.6</v>
      </c>
      <c r="I8" s="5">
        <v>4374.8</v>
      </c>
      <c r="J8" s="5">
        <v>4371.6</v>
      </c>
      <c r="K8" s="5">
        <v>1632.6</v>
      </c>
      <c r="L8" s="5">
        <v>0</v>
      </c>
      <c r="M8" s="5">
        <v>0</v>
      </c>
      <c r="N8" s="5">
        <v>0</v>
      </c>
      <c r="O8" s="19">
        <v>422</v>
      </c>
    </row>
    <row r="9" ht="21.75" customHeight="1" spans="1:15">
      <c r="A9" s="12" t="s">
        <v>28</v>
      </c>
      <c r="B9" s="13" t="s">
        <v>24</v>
      </c>
      <c r="C9" s="14" t="s">
        <v>22</v>
      </c>
      <c r="D9" s="15">
        <f t="shared" si="0"/>
        <v>1407565.45</v>
      </c>
      <c r="E9" s="16"/>
      <c r="F9" s="17"/>
      <c r="G9" s="18">
        <v>185419.511016</v>
      </c>
      <c r="H9" s="19">
        <v>187611.611016</v>
      </c>
      <c r="I9" s="5">
        <v>159342.722584</v>
      </c>
      <c r="J9" s="5">
        <v>169417.975832</v>
      </c>
      <c r="K9" s="5">
        <v>660736.6571492</v>
      </c>
      <c r="L9" s="5">
        <v>17014.598124</v>
      </c>
      <c r="M9" s="5">
        <v>17014.598124</v>
      </c>
      <c r="N9" s="5">
        <v>7503.379416</v>
      </c>
      <c r="O9" s="19">
        <v>3504.4</v>
      </c>
    </row>
    <row r="10" ht="21.75" customHeight="1" spans="1:15">
      <c r="A10" s="12" t="s">
        <v>29</v>
      </c>
      <c r="B10" s="13" t="s">
        <v>30</v>
      </c>
      <c r="C10" s="14" t="s">
        <v>22</v>
      </c>
      <c r="D10" s="15">
        <f t="shared" si="0"/>
        <v>0</v>
      </c>
      <c r="E10" s="16"/>
      <c r="F10" s="17"/>
      <c r="G10" s="18">
        <v>0</v>
      </c>
      <c r="H10" s="19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19">
        <v>0</v>
      </c>
    </row>
    <row r="11" ht="21.75" customHeight="1" spans="1:15">
      <c r="A11" s="12" t="s">
        <v>31</v>
      </c>
      <c r="B11" s="13" t="s">
        <v>32</v>
      </c>
      <c r="C11" s="14"/>
      <c r="D11" s="15"/>
      <c r="E11" s="16"/>
      <c r="F11" s="17"/>
      <c r="G11" s="18"/>
      <c r="H11" s="19"/>
      <c r="O11" s="19"/>
    </row>
    <row r="12" ht="21.75" customHeight="1" spans="1:15">
      <c r="A12" s="12" t="s">
        <v>33</v>
      </c>
      <c r="B12" s="13" t="s">
        <v>21</v>
      </c>
      <c r="C12" s="14" t="s">
        <v>22</v>
      </c>
      <c r="D12" s="15">
        <f t="shared" si="0"/>
        <v>708041.85</v>
      </c>
      <c r="E12" s="20"/>
      <c r="F12" s="17"/>
      <c r="G12" s="18">
        <v>89254.2</v>
      </c>
      <c r="H12" s="19">
        <v>89281.8</v>
      </c>
      <c r="I12" s="5">
        <v>104813.1993725</v>
      </c>
      <c r="J12" s="5">
        <v>111800.214148</v>
      </c>
      <c r="K12" s="5">
        <v>303751.94086</v>
      </c>
      <c r="L12" s="5">
        <v>3531.5</v>
      </c>
      <c r="M12" s="5">
        <v>3531.5</v>
      </c>
      <c r="N12" s="5">
        <v>2077.5</v>
      </c>
      <c r="O12" s="19">
        <v>0</v>
      </c>
    </row>
    <row r="13" ht="21.75" customHeight="1" spans="1:15">
      <c r="A13" s="12" t="s">
        <v>34</v>
      </c>
      <c r="B13" s="13" t="s">
        <v>24</v>
      </c>
      <c r="C13" s="14" t="s">
        <v>22</v>
      </c>
      <c r="D13" s="15">
        <f t="shared" si="0"/>
        <v>3041971.4</v>
      </c>
      <c r="E13" s="20"/>
      <c r="F13" s="17"/>
      <c r="G13" s="18">
        <v>386827</v>
      </c>
      <c r="H13" s="19">
        <v>386827</v>
      </c>
      <c r="I13" s="5">
        <v>465384.183086</v>
      </c>
      <c r="J13" s="5">
        <v>487712.23611</v>
      </c>
      <c r="K13" s="5">
        <v>1280098.085216</v>
      </c>
      <c r="L13" s="5">
        <v>13528.5</v>
      </c>
      <c r="M13" s="5">
        <v>13528.5</v>
      </c>
      <c r="N13" s="5">
        <v>8065.9</v>
      </c>
      <c r="O13" s="19">
        <v>0</v>
      </c>
    </row>
    <row r="14" ht="21.75" customHeight="1" spans="1:15">
      <c r="A14" s="12" t="s">
        <v>35</v>
      </c>
      <c r="B14" s="13" t="s">
        <v>36</v>
      </c>
      <c r="C14" s="14"/>
      <c r="D14" s="15"/>
      <c r="E14" s="20"/>
      <c r="F14" s="17"/>
      <c r="G14" s="18"/>
      <c r="H14" s="19"/>
      <c r="O14" s="19"/>
    </row>
    <row r="15" ht="21.75" customHeight="1" spans="1:15">
      <c r="A15" s="12" t="s">
        <v>37</v>
      </c>
      <c r="B15" s="13" t="s">
        <v>38</v>
      </c>
      <c r="C15" s="14" t="s">
        <v>22</v>
      </c>
      <c r="D15" s="15">
        <f t="shared" si="0"/>
        <v>358315.1</v>
      </c>
      <c r="E15" s="20"/>
      <c r="F15" s="17"/>
      <c r="G15" s="18">
        <v>44424</v>
      </c>
      <c r="H15" s="19">
        <v>46200.96</v>
      </c>
      <c r="I15" s="5">
        <v>53518.3332</v>
      </c>
      <c r="J15" s="5">
        <v>57088.542</v>
      </c>
      <c r="K15" s="5">
        <v>151041.6</v>
      </c>
      <c r="L15" s="5">
        <v>2369.28</v>
      </c>
      <c r="M15" s="5">
        <v>2369.28</v>
      </c>
      <c r="N15" s="5">
        <v>1303.104</v>
      </c>
      <c r="O15" s="19">
        <v>0</v>
      </c>
    </row>
    <row r="16" ht="21.75" customHeight="1" spans="1:15">
      <c r="A16" s="12" t="s">
        <v>39</v>
      </c>
      <c r="B16" s="13" t="s">
        <v>40</v>
      </c>
      <c r="C16" s="14"/>
      <c r="D16" s="15"/>
      <c r="E16" s="20"/>
      <c r="F16" s="17"/>
      <c r="G16" s="18"/>
      <c r="H16" s="19"/>
      <c r="O16" s="19"/>
    </row>
    <row r="17" ht="21.75" customHeight="1" spans="1:15">
      <c r="A17" s="12" t="s">
        <v>41</v>
      </c>
      <c r="B17" s="13" t="s">
        <v>21</v>
      </c>
      <c r="C17" s="14" t="s">
        <v>22</v>
      </c>
      <c r="D17" s="15">
        <f t="shared" si="0"/>
        <v>96145.48</v>
      </c>
      <c r="E17" s="16"/>
      <c r="F17" s="17"/>
      <c r="G17" s="18">
        <v>13300.8</v>
      </c>
      <c r="H17" s="19">
        <v>13300.8</v>
      </c>
      <c r="I17" s="5">
        <v>13300.8</v>
      </c>
      <c r="J17" s="5">
        <v>13300.8</v>
      </c>
      <c r="K17" s="5">
        <v>39480.6</v>
      </c>
      <c r="L17" s="5">
        <v>1226.8</v>
      </c>
      <c r="M17" s="5">
        <v>1226.8</v>
      </c>
      <c r="N17" s="5">
        <v>1008.08</v>
      </c>
      <c r="O17" s="19">
        <v>0</v>
      </c>
    </row>
    <row r="18" ht="21.75" customHeight="1" spans="1:15">
      <c r="A18" s="21" t="s">
        <v>42</v>
      </c>
      <c r="B18" s="13" t="s">
        <v>24</v>
      </c>
      <c r="C18" s="14" t="s">
        <v>22</v>
      </c>
      <c r="D18" s="15">
        <f t="shared" si="0"/>
        <v>437596.49</v>
      </c>
      <c r="E18" s="16"/>
      <c r="F18" s="17"/>
      <c r="G18" s="18">
        <v>61457.17</v>
      </c>
      <c r="H18" s="19">
        <v>60591.28</v>
      </c>
      <c r="I18" s="5">
        <v>63778.26</v>
      </c>
      <c r="J18" s="5">
        <v>63727.26</v>
      </c>
      <c r="K18" s="5">
        <v>161073.96</v>
      </c>
      <c r="L18" s="5">
        <v>10398.1</v>
      </c>
      <c r="M18" s="5">
        <v>10398.1</v>
      </c>
      <c r="N18" s="5">
        <v>4678.64</v>
      </c>
      <c r="O18" s="19">
        <v>1493.72</v>
      </c>
    </row>
    <row r="19" ht="21.75" customHeight="1" spans="1:15">
      <c r="A19" s="21" t="s">
        <v>43</v>
      </c>
      <c r="B19" s="22" t="s">
        <v>44</v>
      </c>
      <c r="C19" s="23"/>
      <c r="D19" s="15"/>
      <c r="E19" s="16"/>
      <c r="F19" s="17"/>
      <c r="G19" s="18"/>
      <c r="H19" s="19"/>
      <c r="O19" s="19"/>
    </row>
    <row r="20" ht="21.75" customHeight="1" spans="1:15">
      <c r="A20" s="24" t="s">
        <v>45</v>
      </c>
      <c r="B20" s="25" t="s">
        <v>44</v>
      </c>
      <c r="C20" s="24" t="s">
        <v>46</v>
      </c>
      <c r="D20" s="15">
        <f t="shared" si="0"/>
        <v>13876.9</v>
      </c>
      <c r="E20" s="16"/>
      <c r="F20" s="17"/>
      <c r="G20" s="18">
        <v>279</v>
      </c>
      <c r="H20" s="19">
        <v>310</v>
      </c>
      <c r="I20" s="5">
        <v>1779.2</v>
      </c>
      <c r="J20" s="5">
        <v>1794.7</v>
      </c>
      <c r="K20" s="5">
        <v>9714</v>
      </c>
      <c r="L20" s="5">
        <v>0</v>
      </c>
      <c r="M20" s="5">
        <v>0</v>
      </c>
      <c r="N20" s="5">
        <v>0</v>
      </c>
      <c r="O20" s="19">
        <v>0</v>
      </c>
    </row>
    <row r="21" ht="21.75" customHeight="1" spans="1:15">
      <c r="A21" s="24" t="s">
        <v>47</v>
      </c>
      <c r="B21" s="25" t="s">
        <v>48</v>
      </c>
      <c r="C21" s="24"/>
      <c r="D21" s="15"/>
      <c r="E21" s="16"/>
      <c r="F21" s="17"/>
      <c r="G21" s="18"/>
      <c r="H21" s="19"/>
      <c r="O21" s="19"/>
    </row>
    <row r="22" ht="21.75" customHeight="1" spans="1:15">
      <c r="A22" s="26" t="s">
        <v>49</v>
      </c>
      <c r="B22" s="27" t="s">
        <v>50</v>
      </c>
      <c r="C22" s="26"/>
      <c r="D22" s="15"/>
      <c r="E22" s="16"/>
      <c r="F22" s="17"/>
      <c r="G22" s="18"/>
      <c r="H22" s="19"/>
      <c r="O22" s="19"/>
    </row>
    <row r="23" ht="21.75" customHeight="1" spans="1:15">
      <c r="A23" s="26" t="s">
        <v>51</v>
      </c>
      <c r="B23" s="27" t="s">
        <v>52</v>
      </c>
      <c r="C23" s="26" t="s">
        <v>53</v>
      </c>
      <c r="D23" s="15">
        <f t="shared" si="0"/>
        <v>48</v>
      </c>
      <c r="E23" s="16"/>
      <c r="F23" s="17"/>
      <c r="G23" s="28">
        <v>0</v>
      </c>
      <c r="H23" s="29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48</v>
      </c>
      <c r="O23" s="29">
        <v>0</v>
      </c>
    </row>
    <row r="24" ht="21.75" customHeight="1" spans="1:15">
      <c r="A24" s="26" t="s">
        <v>54</v>
      </c>
      <c r="B24" s="27" t="s">
        <v>55</v>
      </c>
      <c r="C24" s="26" t="s">
        <v>53</v>
      </c>
      <c r="D24" s="15">
        <f t="shared" si="0"/>
        <v>157</v>
      </c>
      <c r="E24" s="16"/>
      <c r="F24" s="17"/>
      <c r="G24" s="28">
        <v>0</v>
      </c>
      <c r="H24" s="29">
        <v>0</v>
      </c>
      <c r="I24" s="5">
        <v>0</v>
      </c>
      <c r="J24" s="5">
        <v>0</v>
      </c>
      <c r="K24" s="5">
        <v>0</v>
      </c>
      <c r="L24" s="5">
        <v>55</v>
      </c>
      <c r="M24" s="5">
        <v>63</v>
      </c>
      <c r="N24" s="5">
        <v>0</v>
      </c>
      <c r="O24" s="31">
        <v>39</v>
      </c>
    </row>
    <row r="25" ht="21.75" customHeight="1" spans="1:15">
      <c r="A25" s="26" t="s">
        <v>56</v>
      </c>
      <c r="B25" s="27" t="s">
        <v>57</v>
      </c>
      <c r="C25" s="26" t="s">
        <v>53</v>
      </c>
      <c r="D25" s="15">
        <f t="shared" si="0"/>
        <v>3246.9</v>
      </c>
      <c r="E25" s="16"/>
      <c r="F25" s="17"/>
      <c r="G25" s="30">
        <v>262.5</v>
      </c>
      <c r="H25" s="31">
        <v>238.5</v>
      </c>
      <c r="I25" s="5">
        <v>612.4</v>
      </c>
      <c r="J25" s="5">
        <v>662.7</v>
      </c>
      <c r="K25" s="5">
        <v>1470.8</v>
      </c>
      <c r="L25" s="5">
        <v>0</v>
      </c>
      <c r="M25" s="5">
        <v>0</v>
      </c>
      <c r="N25" s="5">
        <v>0</v>
      </c>
      <c r="O25" s="31">
        <v>0</v>
      </c>
    </row>
    <row r="26" ht="21.75" customHeight="1" spans="1:15">
      <c r="A26" s="26" t="s">
        <v>58</v>
      </c>
      <c r="B26" s="27" t="s">
        <v>59</v>
      </c>
      <c r="C26" s="26" t="s">
        <v>53</v>
      </c>
      <c r="D26" s="15">
        <f t="shared" si="0"/>
        <v>1060.5</v>
      </c>
      <c r="E26" s="16"/>
      <c r="F26" s="17"/>
      <c r="G26" s="18">
        <v>561</v>
      </c>
      <c r="H26" s="19">
        <v>499.5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19">
        <v>0</v>
      </c>
    </row>
    <row r="27" s="1" customFormat="1" ht="21.75" customHeight="1" spans="1:15">
      <c r="A27" s="32" t="s">
        <v>60</v>
      </c>
      <c r="B27" s="33" t="s">
        <v>61</v>
      </c>
      <c r="C27" s="32" t="s">
        <v>53</v>
      </c>
      <c r="D27" s="15">
        <f t="shared" si="0"/>
        <v>15049.2</v>
      </c>
      <c r="E27" s="17"/>
      <c r="F27" s="17"/>
      <c r="G27" s="34">
        <v>3085.5</v>
      </c>
      <c r="H27" s="35">
        <v>2767.5</v>
      </c>
      <c r="I27" s="1">
        <v>1889.7</v>
      </c>
      <c r="J27" s="1">
        <v>2043.6</v>
      </c>
      <c r="K27" s="1">
        <v>4625.4</v>
      </c>
      <c r="L27" s="1">
        <v>171</v>
      </c>
      <c r="M27" s="1">
        <v>195</v>
      </c>
      <c r="N27" s="1">
        <v>150</v>
      </c>
      <c r="O27" s="35">
        <v>121.5</v>
      </c>
    </row>
    <row r="28" s="1" customFormat="1" ht="21.75" customHeight="1" spans="1:15">
      <c r="A28" s="36" t="s">
        <v>62</v>
      </c>
      <c r="B28" s="37" t="s">
        <v>63</v>
      </c>
      <c r="C28" s="36"/>
      <c r="D28" s="15"/>
      <c r="E28" s="17"/>
      <c r="F28" s="17"/>
      <c r="G28" s="38"/>
      <c r="H28" s="39"/>
      <c r="O28" s="39"/>
    </row>
    <row r="29" s="1" customFormat="1" ht="21.75" customHeight="1" spans="1:15">
      <c r="A29" s="36" t="s">
        <v>64</v>
      </c>
      <c r="B29" s="37" t="s">
        <v>65</v>
      </c>
      <c r="C29" s="36"/>
      <c r="D29" s="15"/>
      <c r="E29" s="17"/>
      <c r="F29" s="17"/>
      <c r="G29" s="38"/>
      <c r="H29" s="39"/>
      <c r="O29" s="39"/>
    </row>
    <row r="30" s="1" customFormat="1" ht="21.75" customHeight="1" spans="1:15">
      <c r="A30" s="36" t="s">
        <v>66</v>
      </c>
      <c r="B30" s="37" t="s">
        <v>67</v>
      </c>
      <c r="C30" s="36" t="s">
        <v>46</v>
      </c>
      <c r="D30" s="15">
        <f t="shared" si="0"/>
        <v>4106.19</v>
      </c>
      <c r="E30" s="17"/>
      <c r="F30" s="17"/>
      <c r="G30" s="34">
        <v>230.65</v>
      </c>
      <c r="H30" s="35">
        <v>273.02</v>
      </c>
      <c r="I30" s="1">
        <v>354.84</v>
      </c>
      <c r="J30" s="1">
        <v>395.23</v>
      </c>
      <c r="K30" s="1">
        <v>2852.45</v>
      </c>
      <c r="L30" s="1">
        <v>0</v>
      </c>
      <c r="M30" s="1">
        <v>0</v>
      </c>
      <c r="N30" s="1">
        <v>0</v>
      </c>
      <c r="O30" s="35">
        <v>0</v>
      </c>
    </row>
    <row r="31" s="1" customFormat="1" ht="21.75" customHeight="1" spans="1:15">
      <c r="A31" s="36" t="s">
        <v>68</v>
      </c>
      <c r="B31" s="37" t="s">
        <v>69</v>
      </c>
      <c r="C31" s="36"/>
      <c r="D31" s="15"/>
      <c r="E31" s="17"/>
      <c r="F31" s="17"/>
      <c r="G31" s="38"/>
      <c r="H31" s="39"/>
      <c r="O31" s="39"/>
    </row>
    <row r="32" s="1" customFormat="1" ht="21.75" customHeight="1" spans="1:15">
      <c r="A32" s="36" t="s">
        <v>70</v>
      </c>
      <c r="B32" s="37" t="s">
        <v>71</v>
      </c>
      <c r="C32" s="36"/>
      <c r="D32" s="15"/>
      <c r="E32" s="17"/>
      <c r="F32" s="17"/>
      <c r="G32" s="38"/>
      <c r="H32" s="39"/>
      <c r="O32" s="39"/>
    </row>
    <row r="33" s="1" customFormat="1" ht="21.75" customHeight="1" spans="1:15">
      <c r="A33" s="36" t="s">
        <v>72</v>
      </c>
      <c r="B33" s="37" t="s">
        <v>73</v>
      </c>
      <c r="C33" s="36" t="s">
        <v>74</v>
      </c>
      <c r="D33" s="15">
        <f t="shared" si="0"/>
        <v>0</v>
      </c>
      <c r="E33" s="17"/>
      <c r="F33" s="17"/>
      <c r="G33" s="38">
        <v>0</v>
      </c>
      <c r="H33" s="39">
        <v>0</v>
      </c>
      <c r="I33" s="1">
        <v>0</v>
      </c>
      <c r="J33" s="1">
        <v>0</v>
      </c>
      <c r="K33" s="1">
        <v>0</v>
      </c>
      <c r="L33" s="1">
        <v>0</v>
      </c>
      <c r="M33" s="1">
        <v>0</v>
      </c>
      <c r="N33" s="1">
        <v>0</v>
      </c>
      <c r="O33" s="39">
        <v>0</v>
      </c>
    </row>
    <row r="34" s="1" customFormat="1" ht="23.25" customHeight="1" spans="1:15">
      <c r="A34" s="40" t="s">
        <v>75</v>
      </c>
      <c r="B34" s="37" t="s">
        <v>76</v>
      </c>
      <c r="C34" s="40" t="s">
        <v>46</v>
      </c>
      <c r="D34" s="15">
        <f t="shared" si="0"/>
        <v>3317.3</v>
      </c>
      <c r="E34" s="17"/>
      <c r="F34" s="17"/>
      <c r="G34" s="34">
        <v>675.334212550856</v>
      </c>
      <c r="H34" s="35">
        <v>698.780263699842</v>
      </c>
      <c r="I34" s="1">
        <v>251.06524209753</v>
      </c>
      <c r="J34" s="1">
        <v>250.969800514342</v>
      </c>
      <c r="K34" s="1">
        <v>1419.77087458449</v>
      </c>
      <c r="L34" s="1">
        <v>0</v>
      </c>
      <c r="M34" s="1">
        <v>0</v>
      </c>
      <c r="N34" s="1">
        <v>0</v>
      </c>
      <c r="O34" s="35">
        <v>21.38</v>
      </c>
    </row>
    <row r="35" s="1" customFormat="1" ht="21.75" customHeight="1" spans="1:15">
      <c r="A35" s="36" t="s">
        <v>77</v>
      </c>
      <c r="B35" s="37" t="s">
        <v>78</v>
      </c>
      <c r="C35" s="36"/>
      <c r="D35" s="15"/>
      <c r="E35" s="17"/>
      <c r="F35" s="17"/>
      <c r="G35" s="38"/>
      <c r="H35" s="39"/>
      <c r="O35" s="39"/>
    </row>
    <row r="36" s="1" customFormat="1" ht="21.75" customHeight="1" spans="1:15">
      <c r="A36" s="36" t="s">
        <v>79</v>
      </c>
      <c r="B36" s="37" t="s">
        <v>80</v>
      </c>
      <c r="C36" s="36" t="s">
        <v>74</v>
      </c>
      <c r="D36" s="15">
        <f t="shared" si="0"/>
        <v>0</v>
      </c>
      <c r="E36" s="17"/>
      <c r="F36" s="17"/>
      <c r="G36" s="38">
        <v>0</v>
      </c>
      <c r="H36" s="39">
        <v>0</v>
      </c>
      <c r="I36" s="1">
        <v>0</v>
      </c>
      <c r="J36" s="1">
        <v>0</v>
      </c>
      <c r="K36" s="1">
        <v>0</v>
      </c>
      <c r="L36" s="1">
        <v>0</v>
      </c>
      <c r="M36" s="1">
        <v>0</v>
      </c>
      <c r="N36" s="1">
        <v>0</v>
      </c>
      <c r="O36" s="39">
        <v>0</v>
      </c>
    </row>
    <row r="37" s="1" customFormat="1" ht="21.75" customHeight="1" spans="1:15">
      <c r="A37" s="41" t="s">
        <v>81</v>
      </c>
      <c r="B37" s="42" t="s">
        <v>82</v>
      </c>
      <c r="C37" s="41" t="s">
        <v>46</v>
      </c>
      <c r="D37" s="15">
        <f t="shared" si="0"/>
        <v>799.1</v>
      </c>
      <c r="E37" s="17"/>
      <c r="F37" s="17"/>
      <c r="G37" s="38">
        <v>0</v>
      </c>
      <c r="H37" s="39">
        <v>0</v>
      </c>
      <c r="I37" s="1">
        <v>0</v>
      </c>
      <c r="J37" s="1">
        <v>0</v>
      </c>
      <c r="K37" s="1">
        <v>799.1</v>
      </c>
      <c r="L37" s="1">
        <v>0</v>
      </c>
      <c r="M37" s="1">
        <v>0</v>
      </c>
      <c r="N37" s="1">
        <v>0</v>
      </c>
      <c r="O37" s="39">
        <v>0</v>
      </c>
    </row>
    <row r="38" s="1" customFormat="1" ht="21.75" customHeight="1" spans="1:15">
      <c r="A38" s="41" t="s">
        <v>83</v>
      </c>
      <c r="B38" s="42" t="s">
        <v>84</v>
      </c>
      <c r="C38" s="41"/>
      <c r="D38" s="15"/>
      <c r="E38" s="17"/>
      <c r="F38" s="17"/>
      <c r="G38" s="38"/>
      <c r="H38" s="39"/>
      <c r="O38" s="39"/>
    </row>
    <row r="39" s="1" customFormat="1" ht="21.75" customHeight="1" spans="1:15">
      <c r="A39" s="41" t="s">
        <v>85</v>
      </c>
      <c r="B39" s="42" t="s">
        <v>86</v>
      </c>
      <c r="C39" s="41" t="s">
        <v>74</v>
      </c>
      <c r="D39" s="15">
        <f t="shared" ref="D38:D69" si="1">ROUND(SUM(G39:O39),2)</f>
        <v>14.16</v>
      </c>
      <c r="E39" s="17"/>
      <c r="F39" s="17"/>
      <c r="G39" s="38">
        <v>0</v>
      </c>
      <c r="H39" s="39">
        <v>0</v>
      </c>
      <c r="I39" s="1">
        <v>0</v>
      </c>
      <c r="J39" s="1">
        <v>0</v>
      </c>
      <c r="K39" s="1">
        <v>14.16</v>
      </c>
      <c r="L39" s="1">
        <v>0</v>
      </c>
      <c r="M39" s="1">
        <v>0</v>
      </c>
      <c r="N39" s="1">
        <v>0</v>
      </c>
      <c r="O39" s="39">
        <v>0</v>
      </c>
    </row>
    <row r="40" s="1" customFormat="1" ht="21.75" customHeight="1" spans="1:15">
      <c r="A40" s="41" t="s">
        <v>87</v>
      </c>
      <c r="B40" s="42" t="s">
        <v>88</v>
      </c>
      <c r="C40" s="41" t="s">
        <v>46</v>
      </c>
      <c r="D40" s="15">
        <f t="shared" si="1"/>
        <v>329.66</v>
      </c>
      <c r="E40" s="17"/>
      <c r="F40" s="17"/>
      <c r="G40" s="34">
        <v>8</v>
      </c>
      <c r="H40" s="35">
        <v>8</v>
      </c>
      <c r="I40" s="1">
        <v>7.02</v>
      </c>
      <c r="J40" s="1">
        <v>6.94</v>
      </c>
      <c r="K40" s="1">
        <v>295.82</v>
      </c>
      <c r="L40" s="1">
        <v>1.44</v>
      </c>
      <c r="M40" s="1">
        <v>1.44</v>
      </c>
      <c r="N40" s="1">
        <v>1</v>
      </c>
      <c r="O40" s="35">
        <v>0</v>
      </c>
    </row>
    <row r="41" s="1" customFormat="1" ht="21.75" customHeight="1" spans="1:15">
      <c r="A41" s="43" t="s">
        <v>89</v>
      </c>
      <c r="B41" s="44" t="s">
        <v>90</v>
      </c>
      <c r="C41" s="45" t="s">
        <v>46</v>
      </c>
      <c r="D41" s="15">
        <f t="shared" si="1"/>
        <v>387.83</v>
      </c>
      <c r="E41" s="17"/>
      <c r="F41" s="17"/>
      <c r="G41" s="38">
        <v>76.38</v>
      </c>
      <c r="H41" s="39">
        <v>76.38</v>
      </c>
      <c r="I41" s="1">
        <v>75.56</v>
      </c>
      <c r="J41" s="1">
        <v>78.95</v>
      </c>
      <c r="K41" s="1">
        <v>0</v>
      </c>
      <c r="L41" s="1">
        <v>32.7</v>
      </c>
      <c r="M41" s="1">
        <v>32.7</v>
      </c>
      <c r="N41" s="1">
        <v>15.16</v>
      </c>
      <c r="O41" s="39">
        <v>0</v>
      </c>
    </row>
    <row r="42" s="1" customFormat="1" ht="21.75" customHeight="1" spans="1:15">
      <c r="A42" s="41" t="s">
        <v>91</v>
      </c>
      <c r="B42" s="42" t="s">
        <v>92</v>
      </c>
      <c r="C42" s="41"/>
      <c r="D42" s="15"/>
      <c r="E42" s="17"/>
      <c r="F42" s="17"/>
      <c r="G42" s="38"/>
      <c r="H42" s="39"/>
      <c r="O42" s="39"/>
    </row>
    <row r="43" s="1" customFormat="1" ht="21.75" customHeight="1" spans="1:15">
      <c r="A43" s="41" t="s">
        <v>93</v>
      </c>
      <c r="B43" s="42" t="s">
        <v>94</v>
      </c>
      <c r="C43" s="41" t="s">
        <v>46</v>
      </c>
      <c r="D43" s="15">
        <f t="shared" si="1"/>
        <v>3237</v>
      </c>
      <c r="E43" s="17"/>
      <c r="F43" s="17"/>
      <c r="G43" s="38">
        <v>0</v>
      </c>
      <c r="H43" s="39">
        <v>0</v>
      </c>
      <c r="I43" s="1">
        <v>0</v>
      </c>
      <c r="J43" s="1">
        <v>0</v>
      </c>
      <c r="K43" s="1">
        <v>3237</v>
      </c>
      <c r="L43" s="1">
        <v>0</v>
      </c>
      <c r="M43" s="1">
        <v>0</v>
      </c>
      <c r="N43" s="1">
        <v>0</v>
      </c>
      <c r="O43" s="39">
        <v>0</v>
      </c>
    </row>
    <row r="44" s="1" customFormat="1" ht="21.75" customHeight="1" spans="1:15">
      <c r="A44" s="41" t="s">
        <v>95</v>
      </c>
      <c r="B44" s="42" t="s">
        <v>76</v>
      </c>
      <c r="C44" s="41" t="s">
        <v>46</v>
      </c>
      <c r="D44" s="15">
        <f t="shared" si="1"/>
        <v>2238.93</v>
      </c>
      <c r="E44" s="17"/>
      <c r="F44" s="17"/>
      <c r="G44" s="34">
        <v>475.43</v>
      </c>
      <c r="H44" s="35">
        <v>475.43</v>
      </c>
      <c r="I44" s="1">
        <v>514.32</v>
      </c>
      <c r="J44" s="1">
        <v>549.29</v>
      </c>
      <c r="K44" s="1">
        <v>99.86</v>
      </c>
      <c r="L44" s="1">
        <v>47.52</v>
      </c>
      <c r="M44" s="1">
        <v>47.52</v>
      </c>
      <c r="N44" s="1">
        <v>29.56</v>
      </c>
      <c r="O44" s="35">
        <v>0</v>
      </c>
    </row>
    <row r="45" s="1" customFormat="1" ht="21.75" customHeight="1" spans="1:15">
      <c r="A45" s="41" t="s">
        <v>96</v>
      </c>
      <c r="B45" s="42" t="s">
        <v>97</v>
      </c>
      <c r="C45" s="41"/>
      <c r="D45" s="15"/>
      <c r="E45" s="17"/>
      <c r="F45" s="17"/>
      <c r="G45" s="38"/>
      <c r="H45" s="39"/>
      <c r="O45" s="39"/>
    </row>
    <row r="46" s="1" customFormat="1" ht="21.75" customHeight="1" spans="1:15">
      <c r="A46" s="41" t="s">
        <v>98</v>
      </c>
      <c r="B46" s="42" t="s">
        <v>99</v>
      </c>
      <c r="C46" s="41" t="s">
        <v>46</v>
      </c>
      <c r="D46" s="15">
        <f t="shared" si="1"/>
        <v>168</v>
      </c>
      <c r="E46" s="17"/>
      <c r="F46" s="17"/>
      <c r="G46" s="38">
        <v>84</v>
      </c>
      <c r="H46" s="39">
        <v>84</v>
      </c>
      <c r="I46" s="1">
        <v>0</v>
      </c>
      <c r="J46" s="1">
        <v>0</v>
      </c>
      <c r="K46" s="1">
        <v>0</v>
      </c>
      <c r="L46" s="1">
        <v>0</v>
      </c>
      <c r="M46" s="1">
        <v>0</v>
      </c>
      <c r="N46" s="1">
        <v>0</v>
      </c>
      <c r="O46" s="39">
        <v>0</v>
      </c>
    </row>
    <row r="47" s="1" customFormat="1" ht="21.75" customHeight="1" spans="1:15">
      <c r="A47" s="41" t="s">
        <v>100</v>
      </c>
      <c r="B47" s="42" t="s">
        <v>101</v>
      </c>
      <c r="D47" s="15"/>
      <c r="E47" s="17"/>
      <c r="F47" s="17"/>
      <c r="G47" s="38"/>
      <c r="H47" s="39"/>
      <c r="O47" s="39"/>
    </row>
    <row r="48" s="1" customFormat="1" ht="21.75" customHeight="1" spans="1:15">
      <c r="A48" s="41" t="s">
        <v>102</v>
      </c>
      <c r="B48" s="42" t="s">
        <v>76</v>
      </c>
      <c r="C48" s="41" t="s">
        <v>46</v>
      </c>
      <c r="D48" s="15">
        <f t="shared" si="1"/>
        <v>67.66</v>
      </c>
      <c r="E48" s="17"/>
      <c r="F48" s="17"/>
      <c r="G48" s="34">
        <v>8.54</v>
      </c>
      <c r="H48" s="35">
        <v>8.54</v>
      </c>
      <c r="I48" s="1">
        <v>10.37</v>
      </c>
      <c r="J48" s="1">
        <v>10.98</v>
      </c>
      <c r="K48" s="1">
        <v>27.328</v>
      </c>
      <c r="L48" s="1">
        <v>0.672</v>
      </c>
      <c r="M48" s="1">
        <v>0.672</v>
      </c>
      <c r="N48" s="1">
        <v>0.56</v>
      </c>
      <c r="O48" s="35">
        <v>0</v>
      </c>
    </row>
    <row r="49" s="1" customFormat="1" ht="21.75" customHeight="1" spans="1:15">
      <c r="A49" s="46" t="s">
        <v>103</v>
      </c>
      <c r="B49" s="47" t="s">
        <v>104</v>
      </c>
      <c r="C49" s="46"/>
      <c r="D49" s="15"/>
      <c r="E49" s="17"/>
      <c r="F49" s="17"/>
      <c r="G49" s="38"/>
      <c r="H49" s="39"/>
      <c r="O49" s="39"/>
    </row>
    <row r="50" s="1" customFormat="1" ht="21.75" customHeight="1" spans="1:15">
      <c r="A50" s="48" t="s">
        <v>105</v>
      </c>
      <c r="B50" s="49" t="s">
        <v>106</v>
      </c>
      <c r="C50" s="48" t="s">
        <v>46</v>
      </c>
      <c r="D50" s="15">
        <f t="shared" si="1"/>
        <v>2645.87</v>
      </c>
      <c r="E50" s="17"/>
      <c r="F50" s="17"/>
      <c r="G50" s="38">
        <v>357.82</v>
      </c>
      <c r="H50" s="39">
        <v>357.82</v>
      </c>
      <c r="I50" s="1">
        <v>367.85</v>
      </c>
      <c r="J50" s="1">
        <v>400.41</v>
      </c>
      <c r="K50" s="1">
        <v>1130.94</v>
      </c>
      <c r="L50" s="1">
        <v>13.78</v>
      </c>
      <c r="M50" s="1">
        <v>13.78</v>
      </c>
      <c r="N50" s="1">
        <v>3.47</v>
      </c>
      <c r="O50" s="39">
        <v>0</v>
      </c>
    </row>
    <row r="51" s="1" customFormat="1" ht="21.75" customHeight="1" spans="1:15">
      <c r="A51" s="48" t="s">
        <v>107</v>
      </c>
      <c r="B51" s="49" t="s">
        <v>108</v>
      </c>
      <c r="C51" s="48"/>
      <c r="D51" s="15"/>
      <c r="E51" s="17"/>
      <c r="F51" s="17"/>
      <c r="G51" s="38"/>
      <c r="H51" s="39"/>
      <c r="O51" s="39"/>
    </row>
    <row r="52" s="1" customFormat="1" ht="21.75" customHeight="1" spans="1:15">
      <c r="A52" s="48" t="s">
        <v>109</v>
      </c>
      <c r="B52" s="49" t="s">
        <v>76</v>
      </c>
      <c r="C52" s="48" t="s">
        <v>46</v>
      </c>
      <c r="D52" s="15">
        <f t="shared" si="1"/>
        <v>2252.55</v>
      </c>
      <c r="E52" s="17"/>
      <c r="F52" s="17"/>
      <c r="G52" s="18">
        <v>312.86</v>
      </c>
      <c r="H52" s="19">
        <v>310.86</v>
      </c>
      <c r="I52" s="5">
        <v>346.36</v>
      </c>
      <c r="J52" s="5">
        <v>351.44</v>
      </c>
      <c r="K52" s="5">
        <v>761.48</v>
      </c>
      <c r="L52" s="5">
        <v>65.96</v>
      </c>
      <c r="M52" s="5">
        <v>65.96</v>
      </c>
      <c r="N52" s="1">
        <v>28.16</v>
      </c>
      <c r="O52" s="39">
        <v>9.47</v>
      </c>
    </row>
    <row r="53" ht="21" customHeight="1" spans="1:15">
      <c r="A53" s="50" t="s">
        <v>110</v>
      </c>
      <c r="B53" s="51" t="s">
        <v>111</v>
      </c>
      <c r="C53" s="52" t="s">
        <v>46</v>
      </c>
      <c r="D53" s="15">
        <f t="shared" si="1"/>
        <v>4.8</v>
      </c>
      <c r="E53" s="53"/>
      <c r="F53" s="53"/>
      <c r="G53" s="38">
        <v>1.2</v>
      </c>
      <c r="H53" s="39">
        <v>0.6</v>
      </c>
      <c r="I53" s="1">
        <v>0.6</v>
      </c>
      <c r="J53" s="1">
        <v>0</v>
      </c>
      <c r="K53" s="1">
        <v>2.4</v>
      </c>
      <c r="L53" s="1">
        <v>0</v>
      </c>
      <c r="M53" s="1">
        <v>0</v>
      </c>
      <c r="N53" s="5">
        <v>0</v>
      </c>
      <c r="O53" s="19">
        <v>0</v>
      </c>
    </row>
    <row r="54" s="1" customFormat="1" ht="21.75" customHeight="1" spans="1:15">
      <c r="A54" s="48" t="s">
        <v>112</v>
      </c>
      <c r="B54" s="49" t="s">
        <v>113</v>
      </c>
      <c r="C54" s="48"/>
      <c r="D54" s="15"/>
      <c r="E54" s="17"/>
      <c r="F54" s="17"/>
      <c r="G54" s="38"/>
      <c r="H54" s="39"/>
      <c r="O54" s="39"/>
    </row>
    <row r="55" s="1" customFormat="1" ht="21.75" customHeight="1" spans="1:15">
      <c r="A55" s="48" t="s">
        <v>114</v>
      </c>
      <c r="B55" s="49" t="s">
        <v>115</v>
      </c>
      <c r="C55" s="48" t="s">
        <v>22</v>
      </c>
      <c r="D55" s="15">
        <f t="shared" si="1"/>
        <v>647498.63</v>
      </c>
      <c r="E55" s="17"/>
      <c r="F55" s="17"/>
      <c r="G55" s="38">
        <v>68256.8</v>
      </c>
      <c r="H55" s="39">
        <v>68256.8</v>
      </c>
      <c r="I55" s="1">
        <v>82247.997896</v>
      </c>
      <c r="J55" s="1">
        <v>86911.920192</v>
      </c>
      <c r="K55" s="1">
        <v>334564.809848</v>
      </c>
      <c r="L55" s="1">
        <v>2855.4</v>
      </c>
      <c r="M55" s="1">
        <v>2855.4</v>
      </c>
      <c r="N55" s="1">
        <v>1549.5</v>
      </c>
      <c r="O55" s="39">
        <v>0</v>
      </c>
    </row>
    <row r="56" s="1" customFormat="1" ht="21.75" customHeight="1" spans="1:15">
      <c r="A56" s="48" t="s">
        <v>116</v>
      </c>
      <c r="B56" s="49" t="s">
        <v>117</v>
      </c>
      <c r="C56" s="48"/>
      <c r="D56" s="15"/>
      <c r="E56" s="17"/>
      <c r="F56" s="17"/>
      <c r="G56" s="38"/>
      <c r="H56" s="39"/>
      <c r="O56" s="39"/>
    </row>
    <row r="57" s="1" customFormat="1" ht="21.75" customHeight="1" spans="1:15">
      <c r="A57" s="54" t="s">
        <v>118</v>
      </c>
      <c r="B57" s="55" t="s">
        <v>119</v>
      </c>
      <c r="C57" s="54"/>
      <c r="D57" s="15"/>
      <c r="E57" s="17"/>
      <c r="F57" s="17"/>
      <c r="G57" s="38"/>
      <c r="H57" s="39"/>
      <c r="O57" s="39"/>
    </row>
    <row r="58" s="1" customFormat="1" ht="21.75" customHeight="1" spans="1:15">
      <c r="A58" s="54" t="s">
        <v>120</v>
      </c>
      <c r="B58" s="55" t="s">
        <v>121</v>
      </c>
      <c r="C58" s="54" t="s">
        <v>46</v>
      </c>
      <c r="D58" s="15">
        <f t="shared" si="1"/>
        <v>13876.88</v>
      </c>
      <c r="E58" s="17"/>
      <c r="F58" s="17"/>
      <c r="G58" s="38">
        <v>1731.9</v>
      </c>
      <c r="H58" s="39">
        <v>1731.9</v>
      </c>
      <c r="I58" s="1">
        <v>2103.56</v>
      </c>
      <c r="J58" s="1">
        <v>2227.22</v>
      </c>
      <c r="K58" s="1">
        <v>6082.3</v>
      </c>
      <c r="L58" s="1">
        <v>0</v>
      </c>
      <c r="M58" s="1">
        <v>0</v>
      </c>
      <c r="N58" s="1">
        <v>0</v>
      </c>
      <c r="O58" s="39">
        <v>0</v>
      </c>
    </row>
    <row r="59" s="1" customFormat="1" ht="21.75" customHeight="1" spans="1:15">
      <c r="A59" s="54" t="s">
        <v>122</v>
      </c>
      <c r="B59" s="55" t="s">
        <v>123</v>
      </c>
      <c r="C59" s="56"/>
      <c r="D59" s="15"/>
      <c r="E59" s="17"/>
      <c r="F59" s="17"/>
      <c r="G59" s="38"/>
      <c r="H59" s="39"/>
      <c r="O59" s="39"/>
    </row>
    <row r="60" s="1" customFormat="1" ht="21.75" customHeight="1" spans="1:15">
      <c r="A60" s="54" t="s">
        <v>124</v>
      </c>
      <c r="B60" s="55" t="s">
        <v>106</v>
      </c>
      <c r="C60" s="54" t="s">
        <v>46</v>
      </c>
      <c r="D60" s="15">
        <f t="shared" si="1"/>
        <v>196.6</v>
      </c>
      <c r="E60" s="17"/>
      <c r="F60" s="17"/>
      <c r="G60" s="38">
        <v>0</v>
      </c>
      <c r="H60" s="39">
        <v>0</v>
      </c>
      <c r="I60" s="1">
        <v>0</v>
      </c>
      <c r="J60" s="1">
        <v>0</v>
      </c>
      <c r="K60" s="1">
        <v>0</v>
      </c>
      <c r="L60" s="1">
        <v>77.44</v>
      </c>
      <c r="M60" s="1">
        <v>77.44</v>
      </c>
      <c r="N60" s="1">
        <v>41.72</v>
      </c>
      <c r="O60" s="39">
        <v>0</v>
      </c>
    </row>
    <row r="61" s="1" customFormat="1" ht="21.75" customHeight="1" spans="1:15">
      <c r="A61" s="57" t="s">
        <v>125</v>
      </c>
      <c r="B61" s="58" t="s">
        <v>126</v>
      </c>
      <c r="C61" s="57"/>
      <c r="D61" s="15"/>
      <c r="E61" s="17"/>
      <c r="F61" s="17"/>
      <c r="G61" s="38"/>
      <c r="H61" s="39"/>
      <c r="O61" s="39"/>
    </row>
    <row r="62" s="1" customFormat="1" ht="21.75" customHeight="1" spans="1:15">
      <c r="A62" s="57" t="s">
        <v>127</v>
      </c>
      <c r="B62" s="58" t="s">
        <v>128</v>
      </c>
      <c r="C62" s="57"/>
      <c r="D62" s="15"/>
      <c r="E62" s="17"/>
      <c r="F62" s="17"/>
      <c r="G62" s="38"/>
      <c r="H62" s="39"/>
      <c r="O62" s="39"/>
    </row>
    <row r="63" s="1" customFormat="1" ht="21.75" customHeight="1" spans="1:15">
      <c r="A63" s="57" t="s">
        <v>129</v>
      </c>
      <c r="B63" s="58" t="s">
        <v>130</v>
      </c>
      <c r="C63" s="57" t="s">
        <v>46</v>
      </c>
      <c r="D63" s="15">
        <f t="shared" si="1"/>
        <v>178.1</v>
      </c>
      <c r="E63" s="17"/>
      <c r="F63" s="17"/>
      <c r="G63" s="38">
        <v>39.5</v>
      </c>
      <c r="H63" s="39">
        <v>29.8</v>
      </c>
      <c r="I63" s="1">
        <v>0</v>
      </c>
      <c r="J63" s="1">
        <v>0</v>
      </c>
      <c r="K63" s="1">
        <v>99</v>
      </c>
      <c r="L63" s="1">
        <v>0</v>
      </c>
      <c r="M63" s="1">
        <v>0</v>
      </c>
      <c r="N63" s="1">
        <v>9.8</v>
      </c>
      <c r="O63" s="39">
        <v>0</v>
      </c>
    </row>
    <row r="64" s="1" customFormat="1" ht="21.75" customHeight="1" spans="1:15">
      <c r="A64" s="59" t="s">
        <v>131</v>
      </c>
      <c r="B64" s="60" t="s">
        <v>132</v>
      </c>
      <c r="C64" s="59" t="s">
        <v>46</v>
      </c>
      <c r="D64" s="15">
        <f t="shared" si="1"/>
        <v>4788</v>
      </c>
      <c r="E64" s="17"/>
      <c r="F64" s="17"/>
      <c r="G64" s="38">
        <v>2939</v>
      </c>
      <c r="H64" s="39">
        <v>578</v>
      </c>
      <c r="I64" s="1">
        <v>578</v>
      </c>
      <c r="K64" s="1">
        <v>693</v>
      </c>
      <c r="O64" s="39"/>
    </row>
    <row r="65" s="1" customFormat="1" ht="21.75" customHeight="1" spans="1:15">
      <c r="A65" s="61" t="s">
        <v>133</v>
      </c>
      <c r="B65" s="60" t="s">
        <v>134</v>
      </c>
      <c r="C65" s="59" t="s">
        <v>46</v>
      </c>
      <c r="D65" s="15">
        <f t="shared" si="1"/>
        <v>1705.8</v>
      </c>
      <c r="E65" s="17"/>
      <c r="F65" s="17"/>
      <c r="G65" s="38"/>
      <c r="H65" s="39"/>
      <c r="I65" s="1">
        <v>855.8</v>
      </c>
      <c r="J65" s="74">
        <v>850</v>
      </c>
      <c r="K65" s="1"/>
      <c r="O65" s="39"/>
    </row>
    <row r="66" s="1" customFormat="1" ht="21.75" customHeight="1" spans="1:15">
      <c r="A66" s="57" t="s">
        <v>135</v>
      </c>
      <c r="B66" s="58" t="s">
        <v>136</v>
      </c>
      <c r="C66" s="57"/>
      <c r="D66" s="15"/>
      <c r="E66" s="17"/>
      <c r="F66" s="17"/>
      <c r="G66" s="38"/>
      <c r="H66" s="39"/>
      <c r="K66" s="1">
        <v>0</v>
      </c>
      <c r="O66" s="39"/>
    </row>
    <row r="67" s="1" customFormat="1" ht="21.75" customHeight="1" spans="1:15">
      <c r="A67" s="57" t="s">
        <v>137</v>
      </c>
      <c r="B67" s="58" t="s">
        <v>138</v>
      </c>
      <c r="C67" s="57" t="s">
        <v>46</v>
      </c>
      <c r="D67" s="15">
        <f>ROUND(SUM(G67:O67),2)</f>
        <v>5075.4</v>
      </c>
      <c r="E67" s="17"/>
      <c r="F67" s="17"/>
      <c r="G67" s="38">
        <v>545</v>
      </c>
      <c r="H67" s="39">
        <v>991.5</v>
      </c>
      <c r="I67" s="1">
        <v>1387.5</v>
      </c>
      <c r="J67" s="1">
        <v>1871.6</v>
      </c>
      <c r="K67" s="1"/>
      <c r="L67" s="1">
        <v>120</v>
      </c>
      <c r="M67" s="1">
        <v>80</v>
      </c>
      <c r="N67" s="1">
        <v>79.8</v>
      </c>
      <c r="O67" s="39">
        <v>0</v>
      </c>
    </row>
    <row r="68" s="1" customFormat="1" ht="21.75" customHeight="1" spans="1:15">
      <c r="A68" s="59" t="s">
        <v>139</v>
      </c>
      <c r="B68" s="60" t="s">
        <v>140</v>
      </c>
      <c r="C68" s="59" t="s">
        <v>46</v>
      </c>
      <c r="D68" s="15"/>
      <c r="E68" s="17"/>
      <c r="F68" s="17"/>
      <c r="G68" s="38"/>
      <c r="H68" s="39">
        <v>144.9</v>
      </c>
      <c r="I68" s="1">
        <v>1812</v>
      </c>
      <c r="J68" s="1">
        <v>1856.8</v>
      </c>
      <c r="K68" s="1">
        <v>15367.38</v>
      </c>
      <c r="O68" s="39"/>
    </row>
    <row r="69" s="1" customFormat="1" ht="21.75" customHeight="1" spans="1:15">
      <c r="A69" s="57" t="s">
        <v>141</v>
      </c>
      <c r="B69" s="58" t="s">
        <v>142</v>
      </c>
      <c r="C69" s="57"/>
      <c r="D69" s="15"/>
      <c r="E69" s="17"/>
      <c r="F69" s="17"/>
      <c r="G69" s="38"/>
      <c r="H69" s="39"/>
      <c r="O69" s="39"/>
    </row>
    <row r="70" s="1" customFormat="1" ht="21.75" customHeight="1" spans="1:15">
      <c r="A70" s="57" t="s">
        <v>143</v>
      </c>
      <c r="B70" s="58" t="s">
        <v>144</v>
      </c>
      <c r="C70" s="57" t="s">
        <v>145</v>
      </c>
      <c r="D70" s="15">
        <f>ROUND(SUM(G70:O70),2)</f>
        <v>19240.29</v>
      </c>
      <c r="E70" s="17"/>
      <c r="F70" s="17"/>
      <c r="G70" s="38">
        <v>3643.22</v>
      </c>
      <c r="H70" s="39">
        <v>3643.22</v>
      </c>
      <c r="I70" s="1">
        <v>4423.91</v>
      </c>
      <c r="J70" s="1">
        <v>4684.14</v>
      </c>
      <c r="K70" s="1">
        <v>1224</v>
      </c>
      <c r="L70" s="1">
        <v>572.4</v>
      </c>
      <c r="M70" s="1">
        <v>572.4</v>
      </c>
      <c r="N70" s="1">
        <v>477</v>
      </c>
      <c r="O70" s="39">
        <v>0</v>
      </c>
    </row>
    <row r="71" s="1" customFormat="1" ht="21.75" customHeight="1" spans="1:15">
      <c r="A71" s="59" t="s">
        <v>146</v>
      </c>
      <c r="B71" s="62" t="s">
        <v>147</v>
      </c>
      <c r="C71" s="59" t="s">
        <v>53</v>
      </c>
      <c r="D71" s="15">
        <f>ROUND(SUM(G71:O71),2)</f>
        <v>180</v>
      </c>
      <c r="E71" s="17"/>
      <c r="F71" s="17"/>
      <c r="G71" s="38"/>
      <c r="H71" s="39"/>
      <c r="I71" s="1">
        <v>90</v>
      </c>
      <c r="J71" s="1">
        <v>90</v>
      </c>
      <c r="O71" s="39"/>
    </row>
    <row r="72" s="1" customFormat="1" ht="21.75" customHeight="1" spans="1:15">
      <c r="A72" s="57" t="s">
        <v>148</v>
      </c>
      <c r="B72" s="58" t="s">
        <v>149</v>
      </c>
      <c r="C72" s="57"/>
      <c r="D72" s="15"/>
      <c r="E72" s="17"/>
      <c r="F72" s="17"/>
      <c r="G72" s="38"/>
      <c r="H72" s="39"/>
      <c r="O72" s="39"/>
    </row>
    <row r="73" s="1" customFormat="1" ht="21.75" customHeight="1" spans="1:15">
      <c r="A73" s="57" t="s">
        <v>150</v>
      </c>
      <c r="B73" s="58" t="s">
        <v>151</v>
      </c>
      <c r="C73" s="57" t="s">
        <v>74</v>
      </c>
      <c r="D73" s="15">
        <f>ROUND(SUM(G73:O73),2)</f>
        <v>1634.93</v>
      </c>
      <c r="E73" s="17"/>
      <c r="F73" s="17"/>
      <c r="G73" s="38">
        <v>360</v>
      </c>
      <c r="H73" s="39">
        <v>360</v>
      </c>
      <c r="I73" s="1">
        <v>419.298</v>
      </c>
      <c r="J73" s="1">
        <v>450.03</v>
      </c>
      <c r="K73" s="1">
        <v>0</v>
      </c>
      <c r="L73" s="1">
        <v>18</v>
      </c>
      <c r="M73" s="1">
        <v>18</v>
      </c>
      <c r="N73" s="1">
        <v>9.6</v>
      </c>
      <c r="O73" s="39">
        <v>0</v>
      </c>
    </row>
    <row r="74" s="1" customFormat="1" ht="21.75" customHeight="1" spans="1:15">
      <c r="A74" s="57" t="s">
        <v>152</v>
      </c>
      <c r="B74" s="58" t="s">
        <v>153</v>
      </c>
      <c r="C74" s="57"/>
      <c r="D74" s="15"/>
      <c r="E74" s="17"/>
      <c r="F74" s="17"/>
      <c r="G74" s="38"/>
      <c r="H74" s="39"/>
      <c r="K74" s="1">
        <v>0</v>
      </c>
      <c r="O74" s="39"/>
    </row>
    <row r="75" s="1" customFormat="1" ht="21.75" customHeight="1" spans="1:15">
      <c r="A75" s="63" t="s">
        <v>154</v>
      </c>
      <c r="B75" s="64" t="s">
        <v>155</v>
      </c>
      <c r="C75" s="63"/>
      <c r="D75" s="15"/>
      <c r="E75" s="17"/>
      <c r="F75" s="17"/>
      <c r="G75" s="38"/>
      <c r="H75" s="39"/>
      <c r="O75" s="39"/>
    </row>
    <row r="76" s="1" customFormat="1" ht="21.75" customHeight="1" spans="1:15">
      <c r="A76" s="63" t="s">
        <v>156</v>
      </c>
      <c r="B76" s="64" t="s">
        <v>157</v>
      </c>
      <c r="C76" s="63" t="s">
        <v>158</v>
      </c>
      <c r="D76" s="15">
        <f t="shared" ref="D74:D100" si="2">ROUND(SUM(G76:O76),2)</f>
        <v>84</v>
      </c>
      <c r="E76" s="17"/>
      <c r="F76" s="17"/>
      <c r="G76" s="38">
        <v>0</v>
      </c>
      <c r="H76" s="39">
        <v>0</v>
      </c>
      <c r="I76" s="1">
        <v>0</v>
      </c>
      <c r="J76" s="1">
        <v>0</v>
      </c>
      <c r="K76" s="1">
        <v>60</v>
      </c>
      <c r="L76" s="1">
        <v>12</v>
      </c>
      <c r="M76" s="1">
        <v>12</v>
      </c>
      <c r="N76" s="1">
        <v>0</v>
      </c>
      <c r="O76" s="39">
        <v>0</v>
      </c>
    </row>
    <row r="77" s="1" customFormat="1" ht="21.75" customHeight="1" spans="1:15">
      <c r="A77" s="63" t="s">
        <v>159</v>
      </c>
      <c r="B77" s="64" t="s">
        <v>160</v>
      </c>
      <c r="C77" s="63" t="s">
        <v>158</v>
      </c>
      <c r="D77" s="15">
        <f t="shared" si="2"/>
        <v>34</v>
      </c>
      <c r="E77" s="17"/>
      <c r="F77" s="17"/>
      <c r="G77" s="38">
        <v>0</v>
      </c>
      <c r="H77" s="39">
        <v>0</v>
      </c>
      <c r="I77" s="1">
        <v>0</v>
      </c>
      <c r="J77" s="1">
        <v>0</v>
      </c>
      <c r="K77" s="1">
        <v>24</v>
      </c>
      <c r="L77" s="1">
        <v>0</v>
      </c>
      <c r="M77" s="1">
        <v>0</v>
      </c>
      <c r="N77" s="1">
        <v>10</v>
      </c>
      <c r="O77" s="39">
        <v>0</v>
      </c>
    </row>
    <row r="78" s="1" customFormat="1" ht="21.75" customHeight="1" spans="1:15">
      <c r="A78" s="63" t="s">
        <v>161</v>
      </c>
      <c r="B78" s="64" t="s">
        <v>162</v>
      </c>
      <c r="C78" s="63"/>
      <c r="D78" s="15"/>
      <c r="E78" s="17"/>
      <c r="F78" s="17"/>
      <c r="G78" s="38"/>
      <c r="H78" s="39"/>
      <c r="K78" s="1">
        <v>30</v>
      </c>
      <c r="O78" s="39"/>
    </row>
    <row r="79" s="1" customFormat="1" ht="21.75" customHeight="1" spans="1:15">
      <c r="A79" s="63" t="s">
        <v>163</v>
      </c>
      <c r="B79" s="64" t="s">
        <v>164</v>
      </c>
      <c r="C79" s="63" t="s">
        <v>158</v>
      </c>
      <c r="D79" s="15">
        <f t="shared" si="2"/>
        <v>136</v>
      </c>
      <c r="E79" s="17"/>
      <c r="F79" s="17"/>
      <c r="G79" s="38">
        <v>20</v>
      </c>
      <c r="H79" s="39">
        <v>20</v>
      </c>
      <c r="I79" s="1">
        <v>26</v>
      </c>
      <c r="J79" s="1">
        <v>28</v>
      </c>
      <c r="K79" s="1">
        <v>42</v>
      </c>
      <c r="L79" s="1">
        <v>0</v>
      </c>
      <c r="M79" s="1">
        <v>0</v>
      </c>
      <c r="N79" s="1">
        <v>0</v>
      </c>
      <c r="O79" s="39">
        <v>0</v>
      </c>
    </row>
    <row r="80" s="1" customFormat="1" ht="21.75" customHeight="1" spans="1:15">
      <c r="A80" s="63" t="s">
        <v>165</v>
      </c>
      <c r="B80" s="64" t="s">
        <v>166</v>
      </c>
      <c r="C80" s="63" t="s">
        <v>158</v>
      </c>
      <c r="D80" s="15">
        <f t="shared" si="2"/>
        <v>44</v>
      </c>
      <c r="E80" s="17"/>
      <c r="F80" s="17"/>
      <c r="G80" s="38">
        <v>8</v>
      </c>
      <c r="H80" s="39">
        <v>8</v>
      </c>
      <c r="I80" s="1">
        <v>8</v>
      </c>
      <c r="J80" s="1">
        <v>8</v>
      </c>
      <c r="K80" s="1">
        <v>12</v>
      </c>
      <c r="L80" s="1">
        <v>0</v>
      </c>
      <c r="M80" s="1">
        <v>0</v>
      </c>
      <c r="N80" s="1">
        <v>0</v>
      </c>
      <c r="O80" s="39">
        <v>0</v>
      </c>
    </row>
    <row r="81" s="1" customFormat="1" ht="21.75" customHeight="1" spans="1:15">
      <c r="A81" s="63" t="s">
        <v>167</v>
      </c>
      <c r="B81" s="64" t="s">
        <v>168</v>
      </c>
      <c r="C81" s="63" t="s">
        <v>158</v>
      </c>
      <c r="D81" s="15">
        <f t="shared" si="2"/>
        <v>114</v>
      </c>
      <c r="E81" s="17"/>
      <c r="F81" s="17"/>
      <c r="G81" s="38">
        <v>20</v>
      </c>
      <c r="H81" s="39">
        <v>20</v>
      </c>
      <c r="I81" s="1">
        <v>26</v>
      </c>
      <c r="J81" s="1">
        <v>28</v>
      </c>
      <c r="K81" s="1">
        <v>20</v>
      </c>
      <c r="L81" s="1">
        <v>0</v>
      </c>
      <c r="M81" s="1">
        <v>0</v>
      </c>
      <c r="N81" s="1">
        <v>0</v>
      </c>
      <c r="O81" s="39">
        <v>0</v>
      </c>
    </row>
    <row r="82" s="1" customFormat="1" ht="21.75" customHeight="1" spans="1:15">
      <c r="A82" s="63" t="s">
        <v>169</v>
      </c>
      <c r="B82" s="64" t="s">
        <v>170</v>
      </c>
      <c r="C82" s="63" t="s">
        <v>158</v>
      </c>
      <c r="D82" s="15">
        <f t="shared" si="2"/>
        <v>87</v>
      </c>
      <c r="E82" s="17"/>
      <c r="F82" s="17"/>
      <c r="G82" s="38">
        <v>18</v>
      </c>
      <c r="H82" s="39">
        <v>18</v>
      </c>
      <c r="I82" s="1">
        <v>21</v>
      </c>
      <c r="J82" s="1">
        <v>22</v>
      </c>
      <c r="K82" s="1">
        <v>8</v>
      </c>
      <c r="L82" s="1">
        <v>0</v>
      </c>
      <c r="M82" s="1">
        <v>0</v>
      </c>
      <c r="N82" s="1">
        <v>0</v>
      </c>
      <c r="O82" s="39">
        <v>0</v>
      </c>
    </row>
    <row r="83" s="1" customFormat="1" ht="21.75" customHeight="1" spans="1:15">
      <c r="A83" s="63" t="s">
        <v>171</v>
      </c>
      <c r="B83" s="64" t="s">
        <v>172</v>
      </c>
      <c r="C83" s="63" t="s">
        <v>158</v>
      </c>
      <c r="D83" s="15">
        <f t="shared" si="2"/>
        <v>26</v>
      </c>
      <c r="E83" s="17"/>
      <c r="F83" s="17"/>
      <c r="G83" s="38">
        <v>4</v>
      </c>
      <c r="H83" s="39">
        <v>4</v>
      </c>
      <c r="I83" s="1">
        <v>4</v>
      </c>
      <c r="J83" s="1">
        <v>4</v>
      </c>
      <c r="K83" s="1">
        <v>10</v>
      </c>
      <c r="L83" s="1">
        <v>0</v>
      </c>
      <c r="M83" s="1">
        <v>0</v>
      </c>
      <c r="N83" s="1">
        <v>0</v>
      </c>
      <c r="O83" s="39">
        <v>0</v>
      </c>
    </row>
    <row r="84" s="1" customFormat="1" ht="21.75" customHeight="1" spans="1:15">
      <c r="A84" s="63" t="s">
        <v>173</v>
      </c>
      <c r="B84" s="64" t="s">
        <v>174</v>
      </c>
      <c r="C84" s="63" t="s">
        <v>158</v>
      </c>
      <c r="D84" s="15">
        <f t="shared" si="2"/>
        <v>14</v>
      </c>
      <c r="E84" s="17"/>
      <c r="F84" s="17"/>
      <c r="G84" s="38">
        <v>0</v>
      </c>
      <c r="H84" s="39">
        <v>0</v>
      </c>
      <c r="I84" s="1">
        <v>0</v>
      </c>
      <c r="J84" s="1">
        <v>0</v>
      </c>
      <c r="K84" s="1">
        <v>14</v>
      </c>
      <c r="L84" s="1">
        <v>0</v>
      </c>
      <c r="M84" s="1">
        <v>0</v>
      </c>
      <c r="N84" s="1">
        <v>0</v>
      </c>
      <c r="O84" s="39">
        <v>0</v>
      </c>
    </row>
    <row r="85" s="1" customFormat="1" ht="21.75" customHeight="1" spans="1:15">
      <c r="A85" s="63" t="s">
        <v>175</v>
      </c>
      <c r="B85" s="64" t="s">
        <v>176</v>
      </c>
      <c r="C85" s="63" t="s">
        <v>158</v>
      </c>
      <c r="D85" s="15">
        <f t="shared" si="2"/>
        <v>4</v>
      </c>
      <c r="E85" s="17"/>
      <c r="F85" s="17"/>
      <c r="G85" s="38">
        <v>0</v>
      </c>
      <c r="H85" s="39">
        <v>0</v>
      </c>
      <c r="I85" s="1">
        <v>0</v>
      </c>
      <c r="J85" s="1">
        <v>0</v>
      </c>
      <c r="K85" s="1">
        <v>4</v>
      </c>
      <c r="L85" s="1">
        <v>0</v>
      </c>
      <c r="M85" s="1">
        <v>0</v>
      </c>
      <c r="N85" s="1">
        <v>0</v>
      </c>
      <c r="O85" s="39">
        <v>0</v>
      </c>
    </row>
    <row r="86" s="1" customFormat="1" ht="21.75" customHeight="1" spans="1:15">
      <c r="A86" s="63" t="s">
        <v>177</v>
      </c>
      <c r="B86" s="64" t="s">
        <v>178</v>
      </c>
      <c r="C86" s="63" t="s">
        <v>158</v>
      </c>
      <c r="D86" s="15">
        <f t="shared" si="2"/>
        <v>0</v>
      </c>
      <c r="E86" s="17"/>
      <c r="F86" s="17"/>
      <c r="G86" s="38">
        <v>0</v>
      </c>
      <c r="H86" s="39">
        <v>0</v>
      </c>
      <c r="I86" s="1">
        <v>0</v>
      </c>
      <c r="J86" s="1">
        <v>0</v>
      </c>
      <c r="K86" s="1"/>
      <c r="L86" s="1">
        <v>0</v>
      </c>
      <c r="M86" s="1">
        <v>0</v>
      </c>
      <c r="N86" s="1">
        <v>0</v>
      </c>
      <c r="O86" s="39">
        <v>0</v>
      </c>
    </row>
    <row r="87" s="1" customFormat="1" ht="21.75" customHeight="1" spans="1:15">
      <c r="A87" s="63" t="s">
        <v>179</v>
      </c>
      <c r="B87" s="64" t="s">
        <v>180</v>
      </c>
      <c r="C87" s="63" t="s">
        <v>158</v>
      </c>
      <c r="D87" s="15">
        <f t="shared" si="2"/>
        <v>0</v>
      </c>
      <c r="E87" s="17"/>
      <c r="F87" s="17"/>
      <c r="G87" s="38">
        <v>0</v>
      </c>
      <c r="H87" s="39">
        <v>0</v>
      </c>
      <c r="I87" s="1">
        <v>0</v>
      </c>
      <c r="J87" s="1">
        <v>0</v>
      </c>
      <c r="K87" s="1"/>
      <c r="L87" s="1">
        <v>0</v>
      </c>
      <c r="M87" s="1">
        <v>0</v>
      </c>
      <c r="N87" s="1">
        <v>0</v>
      </c>
      <c r="O87" s="39">
        <v>0</v>
      </c>
    </row>
    <row r="88" s="1" customFormat="1" ht="21.75" customHeight="1" spans="1:15">
      <c r="A88" s="63" t="s">
        <v>181</v>
      </c>
      <c r="B88" s="64" t="s">
        <v>182</v>
      </c>
      <c r="C88" s="63" t="s">
        <v>158</v>
      </c>
      <c r="D88" s="15">
        <f t="shared" si="2"/>
        <v>0</v>
      </c>
      <c r="E88" s="17"/>
      <c r="F88" s="17"/>
      <c r="G88" s="38">
        <v>0</v>
      </c>
      <c r="H88" s="39">
        <v>0</v>
      </c>
      <c r="I88" s="1">
        <v>0</v>
      </c>
      <c r="J88" s="1">
        <v>0</v>
      </c>
      <c r="K88" s="1">
        <v>0</v>
      </c>
      <c r="L88" s="1">
        <v>0</v>
      </c>
      <c r="M88" s="1">
        <v>0</v>
      </c>
      <c r="N88" s="1">
        <v>0</v>
      </c>
      <c r="O88" s="39">
        <v>0</v>
      </c>
    </row>
    <row r="89" s="1" customFormat="1" ht="21.75" customHeight="1" spans="1:15">
      <c r="A89" s="63" t="s">
        <v>183</v>
      </c>
      <c r="B89" s="64" t="s">
        <v>184</v>
      </c>
      <c r="C89" s="63"/>
      <c r="D89" s="15"/>
      <c r="E89" s="17"/>
      <c r="F89" s="17"/>
      <c r="G89" s="38"/>
      <c r="H89" s="39"/>
      <c r="K89" s="1">
        <v>0</v>
      </c>
      <c r="O89" s="39"/>
    </row>
    <row r="90" s="1" customFormat="1" ht="21.75" customHeight="1" spans="1:15">
      <c r="A90" s="63" t="s">
        <v>185</v>
      </c>
      <c r="B90" s="64" t="s">
        <v>186</v>
      </c>
      <c r="C90" s="63"/>
      <c r="D90" s="15"/>
      <c r="E90" s="17"/>
      <c r="F90" s="17"/>
      <c r="G90" s="38"/>
      <c r="H90" s="39"/>
      <c r="K90" s="1">
        <v>32.1</v>
      </c>
      <c r="O90" s="39"/>
    </row>
    <row r="91" s="1" customFormat="1" ht="21.75" customHeight="1" spans="1:15">
      <c r="A91" s="63" t="s">
        <v>187</v>
      </c>
      <c r="B91" s="64" t="s">
        <v>188</v>
      </c>
      <c r="C91" s="63" t="s">
        <v>53</v>
      </c>
      <c r="D91" s="15">
        <f t="shared" si="2"/>
        <v>110.5</v>
      </c>
      <c r="E91" s="17"/>
      <c r="F91" s="17"/>
      <c r="G91" s="38">
        <v>0</v>
      </c>
      <c r="H91" s="39">
        <v>0</v>
      </c>
      <c r="I91" s="1">
        <v>0</v>
      </c>
      <c r="J91" s="1">
        <v>0</v>
      </c>
      <c r="K91" s="1">
        <v>96.3</v>
      </c>
      <c r="L91" s="1">
        <v>0</v>
      </c>
      <c r="M91" s="1">
        <v>0</v>
      </c>
      <c r="N91" s="1">
        <v>14.2</v>
      </c>
      <c r="O91" s="39">
        <v>0</v>
      </c>
    </row>
    <row r="92" s="1" customFormat="1" ht="21.75" customHeight="1" spans="1:15">
      <c r="A92" s="63" t="s">
        <v>189</v>
      </c>
      <c r="B92" s="64" t="s">
        <v>190</v>
      </c>
      <c r="C92" s="63" t="s">
        <v>53</v>
      </c>
      <c r="D92" s="15">
        <f t="shared" si="2"/>
        <v>40.4</v>
      </c>
      <c r="E92" s="17"/>
      <c r="F92" s="17"/>
      <c r="G92" s="38">
        <v>0</v>
      </c>
      <c r="H92" s="39">
        <v>0</v>
      </c>
      <c r="I92" s="1">
        <v>0</v>
      </c>
      <c r="J92" s="1">
        <v>0</v>
      </c>
      <c r="K92" s="1"/>
      <c r="L92" s="1">
        <v>20.2</v>
      </c>
      <c r="M92" s="1">
        <v>20.2</v>
      </c>
      <c r="O92" s="39">
        <v>0</v>
      </c>
    </row>
    <row r="93" s="1" customFormat="1" ht="21.75" customHeight="1" spans="1:15">
      <c r="A93" s="63" t="s">
        <v>191</v>
      </c>
      <c r="B93" s="64" t="s">
        <v>192</v>
      </c>
      <c r="C93" s="63" t="s">
        <v>53</v>
      </c>
      <c r="D93" s="15">
        <f t="shared" si="2"/>
        <v>140.28</v>
      </c>
      <c r="E93" s="17"/>
      <c r="F93" s="17"/>
      <c r="G93" s="38">
        <v>32</v>
      </c>
      <c r="H93" s="39">
        <v>32</v>
      </c>
      <c r="I93" s="1">
        <v>37.14</v>
      </c>
      <c r="J93" s="1">
        <v>39.135</v>
      </c>
      <c r="K93" s="1"/>
      <c r="L93" s="1">
        <v>0</v>
      </c>
      <c r="M93" s="1">
        <v>0</v>
      </c>
      <c r="N93" s="1">
        <v>0</v>
      </c>
      <c r="O93" s="39">
        <v>0</v>
      </c>
    </row>
    <row r="94" s="1" customFormat="1" ht="21.75" customHeight="1" spans="1:15">
      <c r="A94" s="63" t="s">
        <v>193</v>
      </c>
      <c r="B94" s="64" t="s">
        <v>194</v>
      </c>
      <c r="C94" s="63" t="s">
        <v>53</v>
      </c>
      <c r="D94" s="15">
        <f t="shared" si="2"/>
        <v>1240.67</v>
      </c>
      <c r="E94" s="17"/>
      <c r="F94" s="17"/>
      <c r="G94" s="38">
        <v>16</v>
      </c>
      <c r="H94" s="39">
        <v>16</v>
      </c>
      <c r="I94" s="1">
        <v>18.57</v>
      </c>
      <c r="J94" s="1">
        <v>20.1</v>
      </c>
      <c r="K94" s="1">
        <v>1170</v>
      </c>
      <c r="L94" s="1">
        <v>0</v>
      </c>
      <c r="M94" s="1">
        <v>0</v>
      </c>
      <c r="N94" s="1">
        <v>0</v>
      </c>
      <c r="O94" s="39">
        <v>0</v>
      </c>
    </row>
    <row r="95" s="1" customFormat="1" ht="21.75" customHeight="1" spans="1:15">
      <c r="A95" s="63" t="s">
        <v>195</v>
      </c>
      <c r="B95" s="64" t="s">
        <v>196</v>
      </c>
      <c r="C95" s="63"/>
      <c r="D95" s="15">
        <f t="shared" si="2"/>
        <v>0</v>
      </c>
      <c r="E95" s="17"/>
      <c r="F95" s="17"/>
      <c r="G95" s="38"/>
      <c r="H95" s="39"/>
      <c r="K95" s="1">
        <v>0</v>
      </c>
      <c r="O95" s="39"/>
    </row>
    <row r="96" s="1" customFormat="1" ht="21.75" customHeight="1" spans="1:15">
      <c r="A96" s="63" t="s">
        <v>197</v>
      </c>
      <c r="B96" s="64" t="s">
        <v>198</v>
      </c>
      <c r="C96" s="63"/>
      <c r="D96" s="15"/>
      <c r="E96" s="17"/>
      <c r="F96" s="17"/>
      <c r="G96" s="38"/>
      <c r="H96" s="39"/>
      <c r="K96" s="1">
        <v>70.2</v>
      </c>
      <c r="O96" s="39"/>
    </row>
    <row r="97" s="1" customFormat="1" ht="21.75" customHeight="1" spans="1:15">
      <c r="A97" s="63" t="s">
        <v>199</v>
      </c>
      <c r="B97" s="64" t="s">
        <v>200</v>
      </c>
      <c r="C97" s="63" t="s">
        <v>53</v>
      </c>
      <c r="D97" s="15">
        <f t="shared" si="2"/>
        <v>1421.2</v>
      </c>
      <c r="E97" s="17"/>
      <c r="F97" s="17"/>
      <c r="G97" s="38">
        <v>240</v>
      </c>
      <c r="H97" s="39">
        <v>240</v>
      </c>
      <c r="I97" s="1">
        <v>391.6</v>
      </c>
      <c r="J97" s="1">
        <v>391.6</v>
      </c>
      <c r="K97" s="1">
        <v>158</v>
      </c>
      <c r="L97" s="1">
        <v>0</v>
      </c>
      <c r="M97" s="1">
        <v>0</v>
      </c>
      <c r="N97" s="1">
        <v>0</v>
      </c>
      <c r="O97" s="39">
        <v>0</v>
      </c>
    </row>
    <row r="98" s="1" customFormat="1" ht="21.75" customHeight="1" spans="1:15">
      <c r="A98" s="63" t="s">
        <v>201</v>
      </c>
      <c r="B98" s="64" t="s">
        <v>202</v>
      </c>
      <c r="C98" s="63" t="s">
        <v>53</v>
      </c>
      <c r="D98" s="15">
        <f t="shared" si="2"/>
        <v>320</v>
      </c>
      <c r="E98" s="17"/>
      <c r="F98" s="17"/>
      <c r="G98" s="38">
        <v>160</v>
      </c>
      <c r="H98" s="39">
        <v>160</v>
      </c>
      <c r="I98" s="1">
        <v>0</v>
      </c>
      <c r="J98" s="1">
        <v>0</v>
      </c>
      <c r="K98" s="1">
        <v>0</v>
      </c>
      <c r="L98" s="1">
        <v>0</v>
      </c>
      <c r="M98" s="1">
        <v>0</v>
      </c>
      <c r="N98" s="1">
        <v>0</v>
      </c>
      <c r="O98" s="39">
        <v>0</v>
      </c>
    </row>
    <row r="99" s="1" customFormat="1" ht="21.75" customHeight="1" spans="1:15">
      <c r="A99" s="63" t="s">
        <v>203</v>
      </c>
      <c r="B99" s="65" t="s">
        <v>204</v>
      </c>
      <c r="C99" s="63" t="s">
        <v>74</v>
      </c>
      <c r="D99" s="15">
        <f t="shared" si="2"/>
        <v>164.1</v>
      </c>
      <c r="E99" s="17"/>
      <c r="F99" s="17"/>
      <c r="G99" s="38">
        <v>21.6</v>
      </c>
      <c r="H99" s="39">
        <v>21.6</v>
      </c>
      <c r="I99" s="1">
        <v>21.6</v>
      </c>
      <c r="J99" s="1">
        <v>21.6</v>
      </c>
      <c r="K99" s="1">
        <v>70.2</v>
      </c>
      <c r="L99" s="1">
        <v>3.6</v>
      </c>
      <c r="M99" s="1">
        <v>3.6</v>
      </c>
      <c r="N99" s="1">
        <v>0.3</v>
      </c>
      <c r="O99" s="39">
        <v>0</v>
      </c>
    </row>
    <row r="100" s="1" customFormat="1" ht="21.75" customHeight="1" spans="1:15">
      <c r="A100" s="63" t="s">
        <v>205</v>
      </c>
      <c r="B100" s="64" t="s">
        <v>206</v>
      </c>
      <c r="C100" s="63" t="s">
        <v>207</v>
      </c>
      <c r="D100" s="15">
        <f t="shared" si="2"/>
        <v>386</v>
      </c>
      <c r="E100" s="17"/>
      <c r="F100" s="17"/>
      <c r="G100" s="38">
        <v>49</v>
      </c>
      <c r="H100" s="39">
        <v>49</v>
      </c>
      <c r="I100" s="1">
        <v>48</v>
      </c>
      <c r="J100" s="1">
        <v>48</v>
      </c>
      <c r="K100" s="1">
        <v>158</v>
      </c>
      <c r="L100" s="1">
        <v>10</v>
      </c>
      <c r="M100" s="1">
        <v>10</v>
      </c>
      <c r="N100" s="1">
        <v>14</v>
      </c>
      <c r="O100" s="39">
        <v>0</v>
      </c>
    </row>
    <row r="101" s="1" customFormat="1" ht="21.75" customHeight="1" spans="1:7">
      <c r="A101" s="66">
        <v>424</v>
      </c>
      <c r="B101" s="56" t="s">
        <v>208</v>
      </c>
      <c r="C101" s="67"/>
      <c r="D101" s="15"/>
      <c r="E101" s="17"/>
      <c r="F101" s="17"/>
      <c r="G101" s="68"/>
    </row>
    <row r="102" s="1" customFormat="1" ht="21.75" customHeight="1" spans="1:15">
      <c r="A102" s="66" t="s">
        <v>209</v>
      </c>
      <c r="B102" s="56" t="s">
        <v>210</v>
      </c>
      <c r="C102" s="67" t="s">
        <v>53</v>
      </c>
      <c r="D102" s="15">
        <f>ROUND(SUM(G102:O102),2)</f>
        <v>63</v>
      </c>
      <c r="E102" s="17"/>
      <c r="F102" s="17"/>
      <c r="G102" s="68"/>
      <c r="O102" s="39">
        <v>63</v>
      </c>
    </row>
    <row r="103" s="1" customFormat="1" ht="21.75" customHeight="1" spans="1:15">
      <c r="A103" s="69" t="s">
        <v>211</v>
      </c>
      <c r="B103" s="56" t="s">
        <v>212</v>
      </c>
      <c r="C103" s="67" t="s">
        <v>207</v>
      </c>
      <c r="D103" s="15">
        <f t="shared" ref="D103:D108" si="3">ROUND(SUM(G103:O103),2)</f>
        <v>1</v>
      </c>
      <c r="E103" s="17"/>
      <c r="F103" s="17"/>
      <c r="G103" s="68"/>
      <c r="O103" s="39">
        <v>1</v>
      </c>
    </row>
    <row r="104" s="1" customFormat="1" ht="21.75" customHeight="1" spans="1:15">
      <c r="A104" s="52" t="s">
        <v>213</v>
      </c>
      <c r="B104" s="56" t="s">
        <v>214</v>
      </c>
      <c r="C104" s="67" t="s">
        <v>207</v>
      </c>
      <c r="D104" s="15">
        <f t="shared" si="3"/>
        <v>1</v>
      </c>
      <c r="E104" s="17"/>
      <c r="F104" s="17"/>
      <c r="G104" s="68"/>
      <c r="O104" s="39">
        <v>1</v>
      </c>
    </row>
    <row r="105" ht="21.75" customHeight="1" spans="1:15">
      <c r="A105" s="70" t="s">
        <v>215</v>
      </c>
      <c r="B105" s="71" t="s">
        <v>216</v>
      </c>
      <c r="C105" s="72" t="s">
        <v>22</v>
      </c>
      <c r="D105" s="15">
        <f t="shared" si="3"/>
        <v>12.33</v>
      </c>
      <c r="E105" s="53"/>
      <c r="F105" s="53"/>
      <c r="O105" s="19">
        <v>12.33</v>
      </c>
    </row>
    <row r="106" ht="21.75" customHeight="1" spans="1:15">
      <c r="A106" s="70" t="s">
        <v>217</v>
      </c>
      <c r="B106" s="73" t="s">
        <v>218</v>
      </c>
      <c r="C106" s="72" t="s">
        <v>22</v>
      </c>
      <c r="D106" s="15">
        <f t="shared" si="3"/>
        <v>0.18</v>
      </c>
      <c r="E106" s="53"/>
      <c r="F106" s="53"/>
      <c r="O106" s="19">
        <v>0.18</v>
      </c>
    </row>
    <row r="107" ht="25" customHeight="1" spans="1:15">
      <c r="A107" s="70" t="s">
        <v>219</v>
      </c>
      <c r="B107" s="73" t="s">
        <v>220</v>
      </c>
      <c r="C107" s="59" t="s">
        <v>46</v>
      </c>
      <c r="D107" s="15">
        <f t="shared" si="3"/>
        <v>30.26</v>
      </c>
      <c r="E107" s="53"/>
      <c r="F107" s="53"/>
      <c r="O107" s="19">
        <v>30.26</v>
      </c>
    </row>
    <row r="108" ht="36" customHeight="1" spans="1:15">
      <c r="A108" s="70" t="s">
        <v>221</v>
      </c>
      <c r="B108" s="73" t="s">
        <v>222</v>
      </c>
      <c r="C108" s="59" t="s">
        <v>46</v>
      </c>
      <c r="D108" s="15">
        <f t="shared" si="3"/>
        <v>32.32</v>
      </c>
      <c r="E108" s="53"/>
      <c r="F108" s="53"/>
      <c r="O108" s="19">
        <v>32.32</v>
      </c>
    </row>
  </sheetData>
  <mergeCells count="1">
    <mergeCell ref="A1:F1"/>
  </mergeCells>
  <pageMargins left="0.7" right="0.7" top="0.75" bottom="0.75" header="0.3" footer="0.3"/>
  <pageSetup paperSize="9" orientation="portrait"/>
  <headerFooter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Company>微软中国</Company>
  <Application>Microsoft Excel</Application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400章（新）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zy</dc:creator>
  <cp:lastModifiedBy>亮哥</cp:lastModifiedBy>
  <dcterms:created xsi:type="dcterms:W3CDTF">2018-03-06T02:01:00Z</dcterms:created>
  <cp:lastPrinted>2023-02-24T07:17:00Z</cp:lastPrinted>
  <dcterms:modified xsi:type="dcterms:W3CDTF">2023-08-08T03:17:05Z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4E602EB854664A7D8554F1AE269AF4C8</vt:lpwstr>
  </property>
  <property fmtid="{D5CDD505-2E9C-101B-9397-08002B2CF9AE}" pid="3" name="KSOProductBuildVer">
    <vt:lpwstr>2052-11.1.0.14309</vt:lpwstr>
  </property>
</Properties>
</file>