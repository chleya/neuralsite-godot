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125" windowHeight="12330"/>
  </bookViews>
  <sheets>
    <sheet name="700章" sheetId="12" r:id="rId1"/>
    <sheet name="702-1-2 种植土 " sheetId="13" r:id="rId2"/>
    <sheet name="703-1-1 喷播草籽" sheetId="14" r:id="rId3"/>
    <sheet name="703-4-1 果岭草，满铺" sheetId="15" r:id="rId4"/>
    <sheet name="704-1-1 香樟" sheetId="16" r:id="rId5"/>
    <sheet name="704-1-2 金桂" sheetId="17" r:id="rId6"/>
    <sheet name="704-1-3 银杏" sheetId="18" r:id="rId7"/>
    <sheet name="704-1-4 紫薇" sheetId="19" r:id="rId8"/>
    <sheet name="704-1-5 红叶石楠柱" sheetId="20" r:id="rId9"/>
    <sheet name="704-2-1 金森女贞锥" sheetId="21" r:id="rId10"/>
    <sheet name="704-2-3 夹竹桃" sheetId="22" r:id="rId11"/>
    <sheet name="704-2-4树状月季" sheetId="23" r:id="rId12"/>
    <sheet name="704-3-1 四季桂绿篱" sheetId="24" r:id="rId13"/>
    <sheet name="704-3-2 八角金盘" sheetId="25" r:id="rId14"/>
    <sheet name="704-3-3 红叶石楠" sheetId="26" r:id="rId15"/>
    <sheet name="704-3-4 毛鹃" sheetId="27" r:id="rId16"/>
    <sheet name="704-3-5 茶梅" sheetId="28" r:id="rId17"/>
    <sheet name="704-3-6 翠芦莉" sheetId="29" r:id="rId18"/>
    <sheet name="704-3-7 金森女贞" sheetId="30" r:id="rId19"/>
    <sheet name="704-3-8 品种月季" sheetId="31" r:id="rId20"/>
    <sheet name="704-3-9 云南黄馨" sheetId="32" r:id="rId21"/>
    <sheet name="704-3-10 矮麦冬" sheetId="33" r:id="rId22"/>
    <sheet name="704-12  清苗" sheetId="34" r:id="rId23"/>
    <sheet name="706-1 路基段声屏障  " sheetId="35" r:id="rId24"/>
    <sheet name="706-2 桥梁段声屏障" sheetId="36" r:id="rId25"/>
    <sheet name="707-1  沉淀池 " sheetId="37" r:id="rId26"/>
  </sheets>
  <definedNames>
    <definedName name="_xlnm._FilterDatabase" localSheetId="0" hidden="1">'700章'!#REF!</definedName>
    <definedName name="八号">EVALUATE(#REF!)</definedName>
    <definedName name="大龙">EVALUATE(#REF!)</definedName>
    <definedName name="二号">EVALUATE(#REF!)</definedName>
    <definedName name="六号">EVALUATE(#REF!)</definedName>
    <definedName name="绿化" localSheetId="0">EVALUATE('700章'!#REF!)</definedName>
    <definedName name="七号">EVALUATE(#REF!)</definedName>
    <definedName name="三号">EVALUATE(#REF!)</definedName>
    <definedName name="石柱">EVALUATE(#REF!)</definedName>
    <definedName name="四号">EVALUATE(#REF!)</definedName>
    <definedName name="五号">EVALUATE(#REF!)</definedName>
    <definedName name="一号">EVALUATE(#REF!)</definedName>
  </definedNames>
  <calcPr calcId="144525"/>
</workbook>
</file>

<file path=xl/sharedStrings.xml><?xml version="1.0" encoding="utf-8"?>
<sst xmlns="http://schemas.openxmlformats.org/spreadsheetml/2006/main" count="519" uniqueCount="181">
  <si>
    <t>清单   第 700 章 绿化及环境保护工程</t>
  </si>
  <si>
    <t>子目号</t>
  </si>
  <si>
    <t>子目名称</t>
  </si>
  <si>
    <t>单位</t>
  </si>
  <si>
    <t>数量</t>
  </si>
  <si>
    <t>单价</t>
  </si>
  <si>
    <t>合价</t>
  </si>
  <si>
    <t>702</t>
  </si>
  <si>
    <t xml:space="preserve">铺设表土 </t>
  </si>
  <si>
    <t>702-1</t>
  </si>
  <si>
    <t xml:space="preserve">开挖并铺设表土 </t>
  </si>
  <si>
    <t>702-1-2</t>
  </si>
  <si>
    <t xml:space="preserve">种植土 </t>
  </si>
  <si>
    <t>m3</t>
  </si>
  <si>
    <t>703-1</t>
  </si>
  <si>
    <t xml:space="preserve">撒播草种（含喷播） </t>
  </si>
  <si>
    <t>703-1-1</t>
  </si>
  <si>
    <t>喷播草籽，15-20克/m2</t>
  </si>
  <si>
    <t>m2</t>
  </si>
  <si>
    <t>703-4</t>
  </si>
  <si>
    <t xml:space="preserve">铺植草皮 </t>
  </si>
  <si>
    <t>703-4-1</t>
  </si>
  <si>
    <t>果岭草，满铺</t>
  </si>
  <si>
    <t>704</t>
  </si>
  <si>
    <t xml:space="preserve">种植乔木、灌木和攀缘植物 </t>
  </si>
  <si>
    <t>704-1</t>
  </si>
  <si>
    <t xml:space="preserve">人工种植乔木 </t>
  </si>
  <si>
    <t>704-1-1</t>
  </si>
  <si>
    <r>
      <t>香樟，</t>
    </r>
    <r>
      <rPr>
        <sz val="10"/>
        <rFont val="Calibri"/>
        <charset val="134"/>
      </rPr>
      <t>Φ</t>
    </r>
    <r>
      <rPr>
        <sz val="10"/>
        <rFont val="宋体"/>
        <charset val="134"/>
      </rPr>
      <t>10.1-12cm，H501-550cm,P301-350cm</t>
    </r>
  </si>
  <si>
    <t>棵</t>
  </si>
  <si>
    <t>704-1-2</t>
  </si>
  <si>
    <r>
      <t>金桂，</t>
    </r>
    <r>
      <rPr>
        <sz val="10"/>
        <rFont val="Calibri"/>
        <charset val="134"/>
      </rPr>
      <t>d</t>
    </r>
    <r>
      <rPr>
        <sz val="10"/>
        <rFont val="宋体"/>
        <charset val="134"/>
      </rPr>
      <t>15.1-16cm，H401-450cm,P351-400cm</t>
    </r>
  </si>
  <si>
    <t>704-1-3</t>
  </si>
  <si>
    <r>
      <t>银杏，</t>
    </r>
    <r>
      <rPr>
        <sz val="10"/>
        <rFont val="Calibri"/>
        <charset val="134"/>
      </rPr>
      <t>Φ</t>
    </r>
    <r>
      <rPr>
        <sz val="10"/>
        <rFont val="宋体"/>
        <charset val="134"/>
      </rPr>
      <t>16.1-18cm，H601-650cm以上，P301-351cm</t>
    </r>
  </si>
  <si>
    <t>704-1-4</t>
  </si>
  <si>
    <t>紫薇，d8.1-9cm，H301-350cm，P251-300cm</t>
  </si>
  <si>
    <t>704-1-5</t>
  </si>
  <si>
    <t>红叶石楠柱，H180-200cm,P81-100cm</t>
  </si>
  <si>
    <t>704-2</t>
  </si>
  <si>
    <t xml:space="preserve">人工种植灌木 </t>
  </si>
  <si>
    <t>704-2-1</t>
  </si>
  <si>
    <t>金森女贞锥，H81-90cm,P51-60cm</t>
  </si>
  <si>
    <t>704-2-3</t>
  </si>
  <si>
    <t>夹竹桃，H201-250cm,P141-160cm</t>
  </si>
  <si>
    <t>704-2-4</t>
  </si>
  <si>
    <t>树状月季，d5.1-6</t>
  </si>
  <si>
    <t>704-3</t>
  </si>
  <si>
    <t xml:space="preserve">人工片植灌木 </t>
  </si>
  <si>
    <t>704-3-1</t>
  </si>
  <si>
    <t>四季桂绿篱，H101-150cm,P60-80cm，4株/m2</t>
  </si>
  <si>
    <t>704-3-2</t>
  </si>
  <si>
    <t>八角金盘，H51-55cm,P41-45cm，25株/m2</t>
  </si>
  <si>
    <t>704-3-3</t>
  </si>
  <si>
    <t>红叶石楠，H41-45cm,P41-45cm，36株/m2</t>
  </si>
  <si>
    <t>704-3-4</t>
  </si>
  <si>
    <t>毛鹃，H31-40cm,P31-40cm，36株/m2</t>
  </si>
  <si>
    <t>704-3-5</t>
  </si>
  <si>
    <t>茶梅，H41-45cm,P31-40cm，36株/m2</t>
  </si>
  <si>
    <t>704-3-6</t>
  </si>
  <si>
    <t>翠芦莉，H41-45cm,P31-40cm，36株/m2</t>
  </si>
  <si>
    <t>704-3-7</t>
  </si>
  <si>
    <t>金森女贞，H41-45cm,P41-45cm，36丛/m2</t>
  </si>
  <si>
    <t>704-3-8</t>
  </si>
  <si>
    <t>品种月季，H41-45，P31-40cm，4株/m2</t>
  </si>
  <si>
    <t>704-3-9</t>
  </si>
  <si>
    <t>云南黄馨，H46-50，P31-40cm，36株/m2</t>
  </si>
  <si>
    <t>704-3-10</t>
  </si>
  <si>
    <t>矮麦冬，3-5芽/丛，49丛/m2</t>
  </si>
  <si>
    <t>704-12</t>
  </si>
  <si>
    <t>清苗</t>
  </si>
  <si>
    <t>706</t>
  </si>
  <si>
    <t xml:space="preserve">声屏障 </t>
  </si>
  <si>
    <t>706-1</t>
  </si>
  <si>
    <t xml:space="preserve">路基段 </t>
  </si>
  <si>
    <t>m</t>
  </si>
  <si>
    <t>706-2</t>
  </si>
  <si>
    <t>桥梁段</t>
  </si>
  <si>
    <t>707</t>
  </si>
  <si>
    <t xml:space="preserve">其他环境保护工程 </t>
  </si>
  <si>
    <t>707-1</t>
  </si>
  <si>
    <t xml:space="preserve">沉淀池 </t>
  </si>
  <si>
    <t>座</t>
  </si>
  <si>
    <t>702-1-2 种植土 数量表</t>
  </si>
  <si>
    <t>序号</t>
  </si>
  <si>
    <t>起讫桩号</t>
  </si>
  <si>
    <t>位置</t>
  </si>
  <si>
    <t>数量（m3）</t>
  </si>
  <si>
    <t>备注</t>
  </si>
  <si>
    <t>YK4+580-YK4+760</t>
  </si>
  <si>
    <t>右</t>
  </si>
  <si>
    <t>第六册S8-6-1</t>
  </si>
  <si>
    <t>YK4+760-YK4+800</t>
  </si>
  <si>
    <t>YK5+980-YK6+155</t>
  </si>
  <si>
    <t>YK6+155-YK6+520</t>
  </si>
  <si>
    <t>YK6+520-YK6+670</t>
  </si>
  <si>
    <t>YK6+670-YK6+800</t>
  </si>
  <si>
    <t>ZK4+300-ZK4+335</t>
  </si>
  <si>
    <t>左</t>
  </si>
  <si>
    <t>ZK4+585-ZK4+700</t>
  </si>
  <si>
    <t>ZK4+700-ZK4+805</t>
  </si>
  <si>
    <t>ZK6+016-ZK6+760</t>
  </si>
  <si>
    <t>ZK6+760-ZK6+800</t>
  </si>
  <si>
    <t>YK6+800-YK6+840</t>
  </si>
  <si>
    <t>AK0+000-AK0+200</t>
  </si>
  <si>
    <t>AK0+200-AK0+370</t>
  </si>
  <si>
    <t>AK0+370-AK0+432</t>
  </si>
  <si>
    <t>CK0+015-CK0+250</t>
  </si>
  <si>
    <t>ZK6+800-ZK6+840</t>
  </si>
  <si>
    <t>BK0+000-BK0+118</t>
  </si>
  <si>
    <t>BK0+118-BK0+467</t>
  </si>
  <si>
    <t>DK0+015-DK0+222</t>
  </si>
  <si>
    <t>K6+712-K7+800</t>
  </si>
  <si>
    <t>第六册S8-6-2</t>
  </si>
  <si>
    <t>K6+000-K6+712</t>
  </si>
  <si>
    <t>中央分隔带</t>
  </si>
  <si>
    <t>第六册S8-6-3</t>
  </si>
  <si>
    <t>YK6+900-YK7+020</t>
  </si>
  <si>
    <t>临时弃土场</t>
  </si>
  <si>
    <t>第六册S8-6-4</t>
  </si>
  <si>
    <t>YK4+800</t>
  </si>
  <si>
    <t>后山隧道口</t>
  </si>
  <si>
    <t>ZK4+805</t>
  </si>
  <si>
    <t>YK5+980</t>
  </si>
  <si>
    <t>ZK6+016</t>
  </si>
  <si>
    <t>K7+790</t>
  </si>
  <si>
    <t>南下线交叉口</t>
  </si>
  <si>
    <t>K9+874</t>
  </si>
  <si>
    <t>南下线终点</t>
  </si>
  <si>
    <t>合计</t>
  </si>
  <si>
    <t>703-1-1 喷播草籽数量表</t>
  </si>
  <si>
    <t>703-4-1 果岭草 数量表</t>
  </si>
  <si>
    <t>K4+58-K4+800</t>
  </si>
  <si>
    <t>704-1-1 香樟 数量表</t>
  </si>
  <si>
    <t>数量（棵）</t>
  </si>
  <si>
    <t>704-1-2 金桂 数量表</t>
  </si>
  <si>
    <t>704-1-3 银杏 数量表</t>
  </si>
  <si>
    <t>704-1-4 紫薇 数量表</t>
  </si>
  <si>
    <t>704-1-5 红叶石楠柱 数量表</t>
  </si>
  <si>
    <t>704-2-1 金森女贞锥 数量表</t>
  </si>
  <si>
    <t>互通景观</t>
  </si>
  <si>
    <t>704-2-3 夹竹桃 数量表</t>
  </si>
  <si>
    <t>704-2-4树状月季 数量表</t>
  </si>
  <si>
    <t>704-3-1 四季桂绿篱 数量表</t>
  </si>
  <si>
    <t>数量（m2）</t>
  </si>
  <si>
    <t>704-3-2 八角金盘 数量表</t>
  </si>
  <si>
    <t>704-3-3 红叶石楠 数量表</t>
  </si>
  <si>
    <t>704-3-4 毛鹃 数量表</t>
  </si>
  <si>
    <t>互通</t>
  </si>
  <si>
    <t>704-3-5 茶梅 数量表</t>
  </si>
  <si>
    <t>704-3-6 翠芦莉 数量表</t>
  </si>
  <si>
    <t>704-3-7 金森女贞 数量表</t>
  </si>
  <si>
    <t>704-3-8 品种月季 数量表</t>
  </si>
  <si>
    <t>704-3-9 云南黄馨 数量表</t>
  </si>
  <si>
    <t>704-3-10 矮麦冬 数量表</t>
  </si>
  <si>
    <t>704-12  清苗 数量表</t>
  </si>
  <si>
    <t>706-1 路基段声屏障 数量表</t>
  </si>
  <si>
    <t>数量（m）</t>
  </si>
  <si>
    <t>K4+300-K4+332</t>
  </si>
  <si>
    <t>路基</t>
  </si>
  <si>
    <t>第六册S8-2</t>
  </si>
  <si>
    <t>K4+580-K4+700</t>
  </si>
  <si>
    <t>706-2 桥梁段声屏障 数量表</t>
  </si>
  <si>
    <t>K4+332-K4+580</t>
  </si>
  <si>
    <t>七秩塘桥</t>
  </si>
  <si>
    <t>K6+93-K7+050</t>
  </si>
  <si>
    <t>横路店大桥</t>
  </si>
  <si>
    <t>K7+500-K7+550</t>
  </si>
  <si>
    <t>马宅大桥右侧</t>
  </si>
  <si>
    <t>K7+600-K7+790</t>
  </si>
  <si>
    <t>马宅大桥左侧</t>
  </si>
  <si>
    <t>707-1  沉淀池 数量表</t>
  </si>
  <si>
    <t>数量（处）</t>
  </si>
  <si>
    <t>K4+33</t>
  </si>
  <si>
    <t>K4+560</t>
  </si>
  <si>
    <t>K6+340</t>
  </si>
  <si>
    <t>K6+380</t>
  </si>
  <si>
    <t>K6+420</t>
  </si>
  <si>
    <t>K6+870</t>
  </si>
  <si>
    <t>K7+010</t>
  </si>
  <si>
    <t>K7+080</t>
  </si>
  <si>
    <t>K7+440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</si>
</sst>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0"/>
      <name val="宋体"/>
      <charset val="134"/>
      <scheme val="minor"/>
    </font>
    <font>
      <b/>
      <sz val="11"/>
      <name val="宋体"/>
      <charset val="134"/>
      <scheme val="minor"/>
    </font>
    <font>
      <b/>
      <sz val="8"/>
      <name val="宋体"/>
      <charset val="134"/>
    </font>
    <font>
      <sz val="10"/>
      <name val="宋体"/>
      <charset val="134"/>
    </font>
    <font>
      <sz val="8"/>
      <name val="宋体"/>
      <charset val="134"/>
    </font>
    <font>
      <sz val="8"/>
      <name val="宋体"/>
      <charset val="134"/>
      <scheme val="minor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0"/>
      <name val="Calibri"/>
      <charset val="134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8" fillId="2" borderId="0" applyNumberFormat="0" applyBorder="0" applyAlignment="0" applyProtection="0">
      <alignment vertical="center"/>
    </xf>
    <xf numFmtId="0" fontId="9" fillId="3" borderId="8" applyNumberFormat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7" borderId="9" applyNumberFormat="0" applyFont="0" applyAlignment="0" applyProtection="0">
      <alignment vertical="center"/>
    </xf>
    <xf numFmtId="0" fontId="7" fillId="0" borderId="0"/>
    <xf numFmtId="0" fontId="11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0"/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20" fillId="11" borderId="12" applyNumberFormat="0" applyAlignment="0" applyProtection="0">
      <alignment vertical="center"/>
    </xf>
    <xf numFmtId="0" fontId="21" fillId="11" borderId="8" applyNumberFormat="0" applyAlignment="0" applyProtection="0">
      <alignment vertical="center"/>
    </xf>
    <xf numFmtId="0" fontId="7" fillId="0" borderId="0"/>
    <xf numFmtId="0" fontId="7" fillId="0" borderId="0"/>
    <xf numFmtId="0" fontId="22" fillId="12" borderId="13" applyNumberForma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26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7" fillId="0" borderId="0"/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30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>
      <alignment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vertical="center"/>
    </xf>
    <xf numFmtId="0" fontId="1" fillId="0" borderId="0" xfId="105" applyFont="1" applyAlignment="1">
      <alignment horizontal="center" vertical="center"/>
    </xf>
    <xf numFmtId="0" fontId="1" fillId="0" borderId="0" xfId="105" applyFont="1" applyAlignment="1">
      <alignment horizontal="left" vertical="center"/>
    </xf>
    <xf numFmtId="0" fontId="1" fillId="0" borderId="0" xfId="105" applyFont="1">
      <alignment vertical="center"/>
    </xf>
    <xf numFmtId="0" fontId="2" fillId="0" borderId="5" xfId="105" applyFont="1" applyBorder="1" applyAlignment="1">
      <alignment horizontal="center" vertical="center"/>
    </xf>
    <xf numFmtId="0" fontId="3" fillId="0" borderId="1" xfId="69" applyFont="1" applyBorder="1" applyAlignment="1">
      <alignment horizontal="center" vertical="center" wrapText="1"/>
    </xf>
    <xf numFmtId="0" fontId="4" fillId="0" borderId="6" xfId="94" applyFont="1" applyBorder="1" applyAlignment="1">
      <alignment horizontal="center" vertical="center" wrapText="1"/>
    </xf>
    <xf numFmtId="0" fontId="4" fillId="0" borderId="7" xfId="94" applyFont="1" applyBorder="1" applyAlignment="1">
      <alignment horizontal="left" vertical="center" wrapText="1"/>
    </xf>
    <xf numFmtId="0" fontId="4" fillId="0" borderId="7" xfId="94" applyFont="1" applyBorder="1" applyAlignment="1">
      <alignment horizontal="center" vertical="center" wrapText="1"/>
    </xf>
    <xf numFmtId="0" fontId="4" fillId="0" borderId="1" xfId="105" applyFont="1" applyBorder="1" applyAlignment="1">
      <alignment horizontal="center" vertical="center" wrapText="1"/>
    </xf>
    <xf numFmtId="0" fontId="5" fillId="0" borderId="1" xfId="105" applyFont="1" applyBorder="1" applyAlignment="1">
      <alignment horizontal="left" vertical="center" wrapText="1"/>
    </xf>
    <xf numFmtId="0" fontId="6" fillId="0" borderId="1" xfId="105" applyFont="1" applyBorder="1">
      <alignment vertical="center"/>
    </xf>
    <xf numFmtId="0" fontId="4" fillId="0" borderId="1" xfId="94" applyFont="1" applyBorder="1" applyAlignment="1">
      <alignment horizontal="center" vertical="center" wrapText="1"/>
    </xf>
    <xf numFmtId="0" fontId="4" fillId="0" borderId="1" xfId="94" applyFont="1" applyBorder="1" applyAlignment="1">
      <alignment horizontal="left" vertical="center" wrapText="1"/>
    </xf>
    <xf numFmtId="0" fontId="5" fillId="0" borderId="1" xfId="105" applyFont="1" applyBorder="1" applyAlignment="1">
      <alignment horizontal="left" vertical="center"/>
    </xf>
    <xf numFmtId="0" fontId="5" fillId="0" borderId="1" xfId="105" applyFont="1" applyBorder="1" applyAlignment="1">
      <alignment horizontal="center" vertical="center" wrapText="1"/>
    </xf>
    <xf numFmtId="0" fontId="5" fillId="0" borderId="0" xfId="105" applyFont="1" applyAlignment="1">
      <alignment horizontal="center" vertical="center" wrapText="1"/>
    </xf>
    <xf numFmtId="0" fontId="5" fillId="0" borderId="0" xfId="105" applyFont="1" applyAlignment="1">
      <alignment horizontal="left" vertical="center" wrapText="1"/>
    </xf>
    <xf numFmtId="0" fontId="6" fillId="0" borderId="0" xfId="105" applyFont="1">
      <alignment vertical="center"/>
    </xf>
    <xf numFmtId="0" fontId="4" fillId="0" borderId="0" xfId="105" applyFont="1" applyAlignment="1">
      <alignment horizontal="center" vertical="center" wrapText="1"/>
    </xf>
    <xf numFmtId="0" fontId="4" fillId="0" borderId="0" xfId="105" applyFont="1" applyAlignment="1">
      <alignment horizontal="left" vertical="center" wrapText="1"/>
    </xf>
    <xf numFmtId="0" fontId="4" fillId="0" borderId="0" xfId="105" applyFont="1" applyAlignment="1">
      <alignment horizontal="center" vertical="center"/>
    </xf>
    <xf numFmtId="0" fontId="4" fillId="0" borderId="0" xfId="105" applyFont="1" applyAlignment="1">
      <alignment horizontal="left" vertical="center"/>
    </xf>
  </cellXfs>
  <cellStyles count="111">
    <cellStyle name="常规" xfId="0" builtinId="0"/>
    <cellStyle name="货币[0]" xfId="1" builtinId="7"/>
    <cellStyle name="货币" xfId="2" builtinId="4"/>
    <cellStyle name="常规 44" xfId="3"/>
    <cellStyle name="常规 39" xfId="4"/>
    <cellStyle name="20% - 强调文字颜色 3" xfId="5" builtinId="38"/>
    <cellStyle name="输入" xfId="6" builtinId="20"/>
    <cellStyle name="千位分隔[0]" xfId="7" builtinId="6"/>
    <cellStyle name="40% - 强调文字颜色 3" xfId="8" builtinId="39"/>
    <cellStyle name="差" xfId="9" builtinId="27"/>
    <cellStyle name="千位分隔" xfId="10" builtinId="3"/>
    <cellStyle name="60% - 强调文字颜色 3" xfId="11" builtinId="40"/>
    <cellStyle name="超链接" xfId="12" builtinId="8"/>
    <cellStyle name="百分比" xfId="13" builtinId="5"/>
    <cellStyle name="已访问的超链接" xfId="14" builtinId="9"/>
    <cellStyle name="注释" xfId="15" builtinId="10"/>
    <cellStyle name="常规 6" xfId="16"/>
    <cellStyle name="60% - 强调文字颜色 2" xfId="17" builtinId="36"/>
    <cellStyle name="标题 4" xfId="18" builtinId="19"/>
    <cellStyle name="警告文本" xfId="19" builtinId="11"/>
    <cellStyle name="标题" xfId="20" builtinId="15"/>
    <cellStyle name="常规 12" xfId="21"/>
    <cellStyle name="解释性文本" xfId="22" builtinId="53"/>
    <cellStyle name="标题 1" xfId="23" builtinId="16"/>
    <cellStyle name="标题 2" xfId="24" builtinId="17"/>
    <cellStyle name="60% - 强调文字颜色 1" xfId="25" builtinId="32"/>
    <cellStyle name="标题 3" xfId="26" builtinId="18"/>
    <cellStyle name="60% - 强调文字颜色 4" xfId="27" builtinId="44"/>
    <cellStyle name="输出" xfId="28" builtinId="21"/>
    <cellStyle name="计算" xfId="29" builtinId="22"/>
    <cellStyle name="常规 31" xfId="30"/>
    <cellStyle name="常规 26" xfId="31"/>
    <cellStyle name="检查单元格" xfId="32" builtinId="23"/>
    <cellStyle name="20% - 强调文字颜色 6" xfId="33" builtinId="50"/>
    <cellStyle name="强调文字颜色 2" xfId="34" builtinId="33"/>
    <cellStyle name="链接单元格" xfId="35" builtinId="24"/>
    <cellStyle name="汇总" xfId="36" builtinId="25"/>
    <cellStyle name="好" xfId="37" builtinId="26"/>
    <cellStyle name="常规 16" xfId="38"/>
    <cellStyle name="常规 21" xfId="39"/>
    <cellStyle name="适中" xfId="40" builtinId="28"/>
    <cellStyle name="20% - 强调文字颜色 5" xfId="41" builtinId="46"/>
    <cellStyle name="强调文字颜色 1" xfId="42" builtinId="29"/>
    <cellStyle name="20% - 强调文字颜色 1" xfId="43" builtinId="30"/>
    <cellStyle name="40% - 强调文字颜色 1" xfId="44" builtinId="31"/>
    <cellStyle name="20% - 强调文字颜色 2" xfId="45" builtinId="34"/>
    <cellStyle name="40% - 强调文字颜色 2" xfId="46" builtinId="35"/>
    <cellStyle name="强调文字颜色 3" xfId="47" builtinId="37"/>
    <cellStyle name="强调文字颜色 4" xfId="48" builtinId="41"/>
    <cellStyle name="20% - 强调文字颜色 4" xfId="49" builtinId="42"/>
    <cellStyle name="40% - 强调文字颜色 4" xfId="50" builtinId="43"/>
    <cellStyle name="强调文字颜色 5" xfId="51" builtinId="45"/>
    <cellStyle name="40% - 强调文字颜色 5" xfId="52" builtinId="47"/>
    <cellStyle name="60% - 强调文字颜色 5" xfId="53" builtinId="48"/>
    <cellStyle name="强调文字颜色 6" xfId="54" builtinId="49"/>
    <cellStyle name="常规 10" xfId="55"/>
    <cellStyle name="40% - 强调文字颜色 6" xfId="56" builtinId="51"/>
    <cellStyle name="60% - 强调文字颜色 6" xfId="57" builtinId="52"/>
    <cellStyle name="常规 11" xfId="58"/>
    <cellStyle name="常规 13" xfId="59"/>
    <cellStyle name="常规 14" xfId="60"/>
    <cellStyle name="常规 15" xfId="61"/>
    <cellStyle name="常规 20" xfId="62"/>
    <cellStyle name="常规 17" xfId="63"/>
    <cellStyle name="常规 22" xfId="64"/>
    <cellStyle name="常规 18" xfId="65"/>
    <cellStyle name="常规 23" xfId="66"/>
    <cellStyle name="常规 24" xfId="67"/>
    <cellStyle name="常规 19" xfId="68"/>
    <cellStyle name="常规 2" xfId="69"/>
    <cellStyle name="常规 30" xfId="70"/>
    <cellStyle name="常规 25" xfId="71"/>
    <cellStyle name="常规 32" xfId="72"/>
    <cellStyle name="常规 27" xfId="73"/>
    <cellStyle name="常规 33" xfId="74"/>
    <cellStyle name="常规 28" xfId="75"/>
    <cellStyle name="常规 34" xfId="76"/>
    <cellStyle name="常规 29" xfId="77"/>
    <cellStyle name="常规 3" xfId="78"/>
    <cellStyle name="常规 40" xfId="79"/>
    <cellStyle name="常规 35" xfId="80"/>
    <cellStyle name="常规 41" xfId="81"/>
    <cellStyle name="常规 36" xfId="82"/>
    <cellStyle name="常规 42" xfId="83"/>
    <cellStyle name="常规 37" xfId="84"/>
    <cellStyle name="常规 43" xfId="85"/>
    <cellStyle name="常规 38" xfId="86"/>
    <cellStyle name="常规 4" xfId="87"/>
    <cellStyle name="常规 50" xfId="88"/>
    <cellStyle name="常规 45" xfId="89"/>
    <cellStyle name="常规 51" xfId="90"/>
    <cellStyle name="常规 46" xfId="91"/>
    <cellStyle name="常规 52" xfId="92"/>
    <cellStyle name="常规 47" xfId="93"/>
    <cellStyle name="常规 53" xfId="94"/>
    <cellStyle name="常规 48" xfId="95"/>
    <cellStyle name="常规 54" xfId="96"/>
    <cellStyle name="常规 49" xfId="97"/>
    <cellStyle name="常规 5" xfId="98"/>
    <cellStyle name="常规 60" xfId="99"/>
    <cellStyle name="常规 55" xfId="100"/>
    <cellStyle name="常规 61" xfId="101"/>
    <cellStyle name="常规 56" xfId="102"/>
    <cellStyle name="常规 62" xfId="103"/>
    <cellStyle name="常规 57" xfId="104"/>
    <cellStyle name="常规 63" xfId="105"/>
    <cellStyle name="常规 58" xfId="106"/>
    <cellStyle name="常规 59" xfId="107"/>
    <cellStyle name="常规 7" xfId="108"/>
    <cellStyle name="常规 8" xfId="109"/>
    <cellStyle name="常规 9" xfId="11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9" Type="http://schemas.openxmlformats.org/officeDocument/2006/relationships/sharedStrings" Target="sharedStrings.xml"/><Relationship Id="rId28" Type="http://schemas.openxmlformats.org/officeDocument/2006/relationships/styles" Target="styles.xml"/><Relationship Id="rId27" Type="http://schemas.openxmlformats.org/officeDocument/2006/relationships/theme" Target="theme/theme1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F0"/>
  </sheetPr>
  <dimension ref="A1:F678"/>
  <sheetViews>
    <sheetView tabSelected="1" workbookViewId="0">
      <pane ySplit="2" topLeftCell="A15" activePane="bottomLeft" state="frozen"/>
      <selection/>
      <selection pane="bottomLeft" activeCell="D38" sqref="D38"/>
    </sheetView>
  </sheetViews>
  <sheetFormatPr defaultColWidth="9" defaultRowHeight="12" outlineLevelCol="5"/>
  <cols>
    <col min="1" max="1" width="9" style="8"/>
    <col min="2" max="2" width="38.625" style="9" customWidth="1"/>
    <col min="3" max="3" width="5.75" style="8" customWidth="1"/>
    <col min="4" max="4" width="8.625" style="8" customWidth="1"/>
    <col min="5" max="5" width="8.625" style="9" customWidth="1"/>
    <col min="6" max="6" width="8.625" style="10" customWidth="1"/>
    <col min="7" max="16384" width="9" style="10"/>
  </cols>
  <sheetData>
    <row r="1" ht="27" customHeight="1" spans="1:6">
      <c r="A1" s="11" t="s">
        <v>0</v>
      </c>
      <c r="B1" s="11"/>
      <c r="C1" s="11"/>
      <c r="D1" s="11"/>
      <c r="E1" s="11"/>
      <c r="F1" s="11"/>
    </row>
    <row r="2" ht="26.25" customHeight="1" spans="1:6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</row>
    <row r="3" ht="21.75" customHeight="1" spans="1:6">
      <c r="A3" s="13" t="s">
        <v>7</v>
      </c>
      <c r="B3" s="14" t="s">
        <v>8</v>
      </c>
      <c r="C3" s="15"/>
      <c r="D3" s="16"/>
      <c r="E3" s="17"/>
      <c r="F3" s="18"/>
    </row>
    <row r="4" ht="21.75" customHeight="1" spans="1:6">
      <c r="A4" s="13" t="s">
        <v>9</v>
      </c>
      <c r="B4" s="14" t="s">
        <v>10</v>
      </c>
      <c r="C4" s="15"/>
      <c r="D4" s="16"/>
      <c r="E4" s="17"/>
      <c r="F4" s="18"/>
    </row>
    <row r="5" ht="21.75" customHeight="1" spans="1:6">
      <c r="A5" s="13" t="s">
        <v>11</v>
      </c>
      <c r="B5" s="14" t="s">
        <v>12</v>
      </c>
      <c r="C5" s="15" t="s">
        <v>13</v>
      </c>
      <c r="D5" s="16">
        <f>'702-1-2 种植土 '!D32</f>
        <v>13645.8</v>
      </c>
      <c r="E5" s="17"/>
      <c r="F5" s="18"/>
    </row>
    <row r="6" ht="21.75" customHeight="1" spans="1:6">
      <c r="A6" s="13" t="s">
        <v>14</v>
      </c>
      <c r="B6" s="14" t="s">
        <v>15</v>
      </c>
      <c r="C6" s="15"/>
      <c r="D6" s="16"/>
      <c r="E6" s="17"/>
      <c r="F6" s="18"/>
    </row>
    <row r="7" ht="21.75" customHeight="1" spans="1:6">
      <c r="A7" s="13" t="s">
        <v>16</v>
      </c>
      <c r="B7" s="14" t="s">
        <v>17</v>
      </c>
      <c r="C7" s="15" t="s">
        <v>18</v>
      </c>
      <c r="D7" s="16">
        <f>'703-1-1 喷播草籽'!D4</f>
        <v>1409</v>
      </c>
      <c r="E7" s="17"/>
      <c r="F7" s="18"/>
    </row>
    <row r="8" ht="21.75" customHeight="1" spans="1:6">
      <c r="A8" s="13" t="s">
        <v>19</v>
      </c>
      <c r="B8" s="14" t="s">
        <v>20</v>
      </c>
      <c r="C8" s="15"/>
      <c r="D8" s="16"/>
      <c r="E8" s="17"/>
      <c r="F8" s="18"/>
    </row>
    <row r="9" ht="21.75" customHeight="1" spans="1:6">
      <c r="A9" s="13" t="s">
        <v>21</v>
      </c>
      <c r="B9" s="14" t="s">
        <v>22</v>
      </c>
      <c r="C9" s="15" t="s">
        <v>18</v>
      </c>
      <c r="D9" s="16">
        <f>'703-4-1 果岭草，满铺'!D5</f>
        <v>2517</v>
      </c>
      <c r="E9" s="17"/>
      <c r="F9" s="18"/>
    </row>
    <row r="10" ht="21.75" customHeight="1" spans="1:6">
      <c r="A10" s="19" t="s">
        <v>23</v>
      </c>
      <c r="B10" s="20" t="s">
        <v>24</v>
      </c>
      <c r="C10" s="19"/>
      <c r="D10" s="16"/>
      <c r="E10" s="21"/>
      <c r="F10" s="18"/>
    </row>
    <row r="11" ht="21.75" customHeight="1" spans="1:6">
      <c r="A11" s="19" t="s">
        <v>25</v>
      </c>
      <c r="B11" s="20" t="s">
        <v>26</v>
      </c>
      <c r="C11" s="19"/>
      <c r="D11" s="16"/>
      <c r="E11" s="17"/>
      <c r="F11" s="18"/>
    </row>
    <row r="12" ht="21.75" customHeight="1" spans="1:6">
      <c r="A12" s="19" t="s">
        <v>27</v>
      </c>
      <c r="B12" s="20" t="s">
        <v>28</v>
      </c>
      <c r="C12" s="19" t="s">
        <v>29</v>
      </c>
      <c r="D12" s="16">
        <f>'704-1-1 香樟'!D17</f>
        <v>388</v>
      </c>
      <c r="E12" s="17"/>
      <c r="F12" s="18"/>
    </row>
    <row r="13" ht="21.75" customHeight="1" spans="1:6">
      <c r="A13" s="19" t="s">
        <v>30</v>
      </c>
      <c r="B13" s="20" t="s">
        <v>31</v>
      </c>
      <c r="C13" s="19" t="s">
        <v>29</v>
      </c>
      <c r="D13" s="16">
        <f>'704-1-2 金桂'!D5</f>
        <v>82</v>
      </c>
      <c r="E13" s="17"/>
      <c r="F13" s="18"/>
    </row>
    <row r="14" ht="21.75" customHeight="1" spans="1:6">
      <c r="A14" s="19" t="s">
        <v>32</v>
      </c>
      <c r="B14" s="20" t="s">
        <v>33</v>
      </c>
      <c r="C14" s="19" t="s">
        <v>29</v>
      </c>
      <c r="D14" s="16">
        <f>'704-1-3 银杏'!D5</f>
        <v>123</v>
      </c>
      <c r="E14" s="17"/>
      <c r="F14" s="18"/>
    </row>
    <row r="15" ht="21.75" customHeight="1" spans="1:6">
      <c r="A15" s="19" t="s">
        <v>34</v>
      </c>
      <c r="B15" s="20" t="s">
        <v>35</v>
      </c>
      <c r="C15" s="19" t="s">
        <v>29</v>
      </c>
      <c r="D15" s="16">
        <f>'704-1-4 紫薇'!D11</f>
        <v>559</v>
      </c>
      <c r="E15" s="17"/>
      <c r="F15" s="18"/>
    </row>
    <row r="16" ht="21.75" customHeight="1" spans="1:6">
      <c r="A16" s="19" t="s">
        <v>36</v>
      </c>
      <c r="B16" s="20" t="s">
        <v>37</v>
      </c>
      <c r="C16" s="19" t="s">
        <v>29</v>
      </c>
      <c r="D16" s="16">
        <f>'704-1-5 红叶石楠柱'!D4</f>
        <v>80</v>
      </c>
      <c r="E16" s="17"/>
      <c r="F16" s="18"/>
    </row>
    <row r="17" ht="21.75" customHeight="1" spans="1:6">
      <c r="A17" s="19" t="s">
        <v>38</v>
      </c>
      <c r="B17" s="20" t="s">
        <v>39</v>
      </c>
      <c r="C17" s="19"/>
      <c r="D17" s="16"/>
      <c r="E17" s="21"/>
      <c r="F17" s="18"/>
    </row>
    <row r="18" ht="21.75" customHeight="1" spans="1:6">
      <c r="A18" s="19" t="s">
        <v>40</v>
      </c>
      <c r="B18" s="20" t="s">
        <v>41</v>
      </c>
      <c r="C18" s="19" t="s">
        <v>29</v>
      </c>
      <c r="D18" s="16">
        <f>'704-2-1 金森女贞锥'!D4</f>
        <v>100</v>
      </c>
      <c r="E18" s="21"/>
      <c r="F18" s="18"/>
    </row>
    <row r="19" ht="21.75" customHeight="1" spans="1:6">
      <c r="A19" s="19" t="s">
        <v>42</v>
      </c>
      <c r="B19" s="20" t="s">
        <v>43</v>
      </c>
      <c r="C19" s="19" t="s">
        <v>29</v>
      </c>
      <c r="D19" s="16">
        <f>'704-2-3 夹竹桃'!D7</f>
        <v>114</v>
      </c>
      <c r="E19" s="21"/>
      <c r="F19" s="18"/>
    </row>
    <row r="20" ht="21.75" customHeight="1" spans="1:6">
      <c r="A20" s="19" t="s">
        <v>44</v>
      </c>
      <c r="B20" s="20" t="s">
        <v>45</v>
      </c>
      <c r="C20" s="19" t="s">
        <v>29</v>
      </c>
      <c r="D20" s="16">
        <f>'704-2-4树状月季'!D4</f>
        <v>69</v>
      </c>
      <c r="E20" s="21"/>
      <c r="F20" s="18"/>
    </row>
    <row r="21" ht="21.75" customHeight="1" spans="1:6">
      <c r="A21" s="19" t="s">
        <v>46</v>
      </c>
      <c r="B21" s="20" t="s">
        <v>47</v>
      </c>
      <c r="C21" s="19"/>
      <c r="D21" s="16"/>
      <c r="E21" s="21"/>
      <c r="F21" s="18"/>
    </row>
    <row r="22" ht="21.75" customHeight="1" spans="1:6">
      <c r="A22" s="19" t="s">
        <v>48</v>
      </c>
      <c r="B22" s="20" t="s">
        <v>49</v>
      </c>
      <c r="C22" s="19" t="s">
        <v>18</v>
      </c>
      <c r="D22" s="16">
        <f>'704-3-1 四季桂绿篱'!D4</f>
        <v>800</v>
      </c>
      <c r="E22" s="21"/>
      <c r="F22" s="18"/>
    </row>
    <row r="23" ht="21.75" customHeight="1" spans="1:6">
      <c r="A23" s="19" t="s">
        <v>50</v>
      </c>
      <c r="B23" s="20" t="s">
        <v>51</v>
      </c>
      <c r="C23" s="19" t="s">
        <v>18</v>
      </c>
      <c r="D23" s="16">
        <f>'704-3-2 八角金盘'!D4</f>
        <v>5313</v>
      </c>
      <c r="E23" s="21"/>
      <c r="F23" s="18"/>
    </row>
    <row r="24" ht="21.75" customHeight="1" spans="1:6">
      <c r="A24" s="19" t="s">
        <v>52</v>
      </c>
      <c r="B24" s="20" t="s">
        <v>53</v>
      </c>
      <c r="C24" s="19" t="s">
        <v>18</v>
      </c>
      <c r="D24" s="16">
        <f>'704-3-3 红叶石楠'!D4</f>
        <v>529</v>
      </c>
      <c r="E24" s="21"/>
      <c r="F24" s="18"/>
    </row>
    <row r="25" ht="21.75" customHeight="1" spans="1:6">
      <c r="A25" s="19" t="s">
        <v>54</v>
      </c>
      <c r="B25" s="20" t="s">
        <v>55</v>
      </c>
      <c r="C25" s="19" t="s">
        <v>18</v>
      </c>
      <c r="D25" s="16">
        <f>'704-3-4 毛鹃'!D5</f>
        <v>2094</v>
      </c>
      <c r="E25" s="21"/>
      <c r="F25" s="18"/>
    </row>
    <row r="26" ht="21.75" customHeight="1" spans="1:6">
      <c r="A26" s="19" t="s">
        <v>56</v>
      </c>
      <c r="B26" s="20" t="s">
        <v>57</v>
      </c>
      <c r="C26" s="19" t="s">
        <v>18</v>
      </c>
      <c r="D26" s="16">
        <f>'704-3-5 茶梅'!D5</f>
        <v>941</v>
      </c>
      <c r="E26" s="21"/>
      <c r="F26" s="18"/>
    </row>
    <row r="27" ht="21.75" customHeight="1" spans="1:6">
      <c r="A27" s="19" t="s">
        <v>58</v>
      </c>
      <c r="B27" s="20" t="s">
        <v>59</v>
      </c>
      <c r="C27" s="19" t="s">
        <v>18</v>
      </c>
      <c r="D27" s="16">
        <f>'704-3-6 翠芦莉'!D5</f>
        <v>1018</v>
      </c>
      <c r="E27" s="21"/>
      <c r="F27" s="18"/>
    </row>
    <row r="28" ht="21.75" customHeight="1" spans="1:6">
      <c r="A28" s="19" t="s">
        <v>60</v>
      </c>
      <c r="B28" s="20" t="s">
        <v>61</v>
      </c>
      <c r="C28" s="19" t="s">
        <v>18</v>
      </c>
      <c r="D28" s="16">
        <f>'704-3-7 金森女贞'!D7</f>
        <v>2075</v>
      </c>
      <c r="E28" s="21"/>
      <c r="F28" s="18"/>
    </row>
    <row r="29" ht="21.75" customHeight="1" spans="1:6">
      <c r="A29" s="19" t="s">
        <v>62</v>
      </c>
      <c r="B29" s="20" t="s">
        <v>63</v>
      </c>
      <c r="C29" s="19" t="s">
        <v>18</v>
      </c>
      <c r="D29" s="16">
        <f>'704-3-8 品种月季'!D4</f>
        <v>307</v>
      </c>
      <c r="E29" s="17"/>
      <c r="F29" s="18"/>
    </row>
    <row r="30" ht="21.75" customHeight="1" spans="1:6">
      <c r="A30" s="19" t="s">
        <v>64</v>
      </c>
      <c r="B30" s="20" t="s">
        <v>65</v>
      </c>
      <c r="C30" s="19" t="s">
        <v>18</v>
      </c>
      <c r="D30" s="16">
        <f>'704-3-9 云南黄馨'!D7</f>
        <v>258</v>
      </c>
      <c r="E30" s="17"/>
      <c r="F30" s="18"/>
    </row>
    <row r="31" ht="21.75" customHeight="1" spans="1:6">
      <c r="A31" s="19" t="s">
        <v>66</v>
      </c>
      <c r="B31" s="20" t="s">
        <v>67</v>
      </c>
      <c r="C31" s="19" t="s">
        <v>18</v>
      </c>
      <c r="D31" s="16">
        <f>'704-3-10 矮麦冬'!D4</f>
        <v>1409</v>
      </c>
      <c r="E31" s="17"/>
      <c r="F31" s="18"/>
    </row>
    <row r="32" ht="21.75" customHeight="1" spans="1:6">
      <c r="A32" s="19" t="s">
        <v>68</v>
      </c>
      <c r="B32" s="20" t="s">
        <v>69</v>
      </c>
      <c r="C32" s="19" t="s">
        <v>18</v>
      </c>
      <c r="D32" s="16">
        <f>'704-12  清苗'!D5</f>
        <v>14768</v>
      </c>
      <c r="E32" s="17"/>
      <c r="F32" s="18"/>
    </row>
    <row r="33" ht="21.75" customHeight="1" spans="1:6">
      <c r="A33" s="19" t="s">
        <v>70</v>
      </c>
      <c r="B33" s="20" t="s">
        <v>71</v>
      </c>
      <c r="C33" s="19"/>
      <c r="D33" s="16"/>
      <c r="E33" s="17"/>
      <c r="F33" s="18"/>
    </row>
    <row r="34" ht="21.75" customHeight="1" spans="1:6">
      <c r="A34" s="19" t="s">
        <v>72</v>
      </c>
      <c r="B34" s="20" t="s">
        <v>73</v>
      </c>
      <c r="C34" s="19" t="s">
        <v>74</v>
      </c>
      <c r="D34" s="16">
        <f>'706-1 路基段声屏障  '!D5</f>
        <v>304</v>
      </c>
      <c r="E34" s="17"/>
      <c r="F34" s="18"/>
    </row>
    <row r="35" ht="21.75" customHeight="1" spans="1:6">
      <c r="A35" s="19" t="s">
        <v>75</v>
      </c>
      <c r="B35" s="20" t="s">
        <v>76</v>
      </c>
      <c r="C35" s="19" t="s">
        <v>74</v>
      </c>
      <c r="D35" s="16">
        <f>'706-2 桥梁段声屏障'!D8</f>
        <v>1046</v>
      </c>
      <c r="E35" s="17"/>
      <c r="F35" s="18"/>
    </row>
    <row r="36" ht="21.75" customHeight="1" spans="1:6">
      <c r="A36" s="19" t="s">
        <v>77</v>
      </c>
      <c r="B36" s="20" t="s">
        <v>78</v>
      </c>
      <c r="C36" s="19"/>
      <c r="D36" s="16"/>
      <c r="E36" s="17"/>
      <c r="F36" s="18"/>
    </row>
    <row r="37" ht="18" customHeight="1" spans="1:6">
      <c r="A37" s="19" t="s">
        <v>79</v>
      </c>
      <c r="B37" s="20" t="s">
        <v>80</v>
      </c>
      <c r="C37" s="19" t="s">
        <v>81</v>
      </c>
      <c r="D37" s="16">
        <f>'707-1  沉淀池 '!D12</f>
        <v>15</v>
      </c>
      <c r="E37" s="22"/>
      <c r="F37" s="22"/>
    </row>
    <row r="38" spans="1:6">
      <c r="A38" s="23"/>
      <c r="B38" s="24"/>
      <c r="C38" s="23"/>
      <c r="D38" s="23"/>
      <c r="E38" s="24"/>
      <c r="F38" s="25"/>
    </row>
    <row r="39" spans="1:6">
      <c r="A39" s="23"/>
      <c r="B39" s="24"/>
      <c r="C39" s="23"/>
      <c r="D39" s="23"/>
      <c r="E39" s="24"/>
      <c r="F39" s="25"/>
    </row>
    <row r="40" spans="1:6">
      <c r="A40" s="23"/>
      <c r="B40" s="24"/>
      <c r="C40" s="23"/>
      <c r="D40" s="23"/>
      <c r="E40" s="24"/>
      <c r="F40" s="25"/>
    </row>
    <row r="41" spans="1:5">
      <c r="A41" s="26"/>
      <c r="B41" s="27"/>
      <c r="C41" s="26"/>
      <c r="D41" s="26"/>
      <c r="E41" s="27"/>
    </row>
    <row r="42" spans="1:5">
      <c r="A42" s="26"/>
      <c r="B42" s="27"/>
      <c r="C42" s="26"/>
      <c r="D42" s="26"/>
      <c r="E42" s="27"/>
    </row>
    <row r="43" spans="1:5">
      <c r="A43" s="26"/>
      <c r="B43" s="27"/>
      <c r="C43" s="26"/>
      <c r="D43" s="26"/>
      <c r="E43" s="27"/>
    </row>
    <row r="44" spans="1:5">
      <c r="A44" s="26"/>
      <c r="B44" s="27"/>
      <c r="C44" s="26"/>
      <c r="D44" s="26"/>
      <c r="E44" s="27"/>
    </row>
    <row r="45" ht="24" customHeight="1" spans="1:5">
      <c r="A45" s="26"/>
      <c r="B45" s="27"/>
      <c r="C45" s="26"/>
      <c r="D45" s="26"/>
      <c r="E45" s="27"/>
    </row>
    <row r="46" spans="1:5">
      <c r="A46" s="26"/>
      <c r="B46" s="27"/>
      <c r="C46" s="26"/>
      <c r="D46" s="26"/>
      <c r="E46" s="27"/>
    </row>
    <row r="47" customHeight="1" spans="1:5">
      <c r="A47" s="26"/>
      <c r="B47" s="27"/>
      <c r="C47" s="26"/>
      <c r="D47" s="26"/>
      <c r="E47" s="27"/>
    </row>
    <row r="48" spans="1:5">
      <c r="A48" s="26"/>
      <c r="B48" s="27"/>
      <c r="C48" s="26"/>
      <c r="D48" s="26"/>
      <c r="E48" s="27"/>
    </row>
    <row r="49" spans="1:5">
      <c r="A49" s="26"/>
      <c r="B49" s="27"/>
      <c r="C49" s="26"/>
      <c r="D49" s="26"/>
      <c r="E49" s="27"/>
    </row>
    <row r="50" spans="1:5">
      <c r="A50" s="26"/>
      <c r="B50" s="27"/>
      <c r="C50" s="26"/>
      <c r="D50" s="26"/>
      <c r="E50" s="27"/>
    </row>
    <row r="51" spans="1:5">
      <c r="A51" s="26"/>
      <c r="B51" s="27"/>
      <c r="C51" s="26"/>
      <c r="D51" s="26"/>
      <c r="E51" s="27"/>
    </row>
    <row r="52" spans="1:5">
      <c r="A52" s="26"/>
      <c r="B52" s="27"/>
      <c r="C52" s="26"/>
      <c r="D52" s="26"/>
      <c r="E52" s="27"/>
    </row>
    <row r="53" spans="1:5">
      <c r="A53" s="26"/>
      <c r="B53" s="27"/>
      <c r="C53" s="26"/>
      <c r="D53" s="26"/>
      <c r="E53" s="27"/>
    </row>
    <row r="54" ht="24.75" customHeight="1" spans="1:5">
      <c r="A54" s="26"/>
      <c r="B54" s="27"/>
      <c r="C54" s="26"/>
      <c r="D54" s="26"/>
      <c r="E54" s="27"/>
    </row>
    <row r="55" ht="14.25" customHeight="1" spans="1:5">
      <c r="A55" s="26"/>
      <c r="B55" s="27"/>
      <c r="C55" s="26"/>
      <c r="D55" s="26"/>
      <c r="E55" s="27"/>
    </row>
    <row r="56" spans="1:5">
      <c r="A56" s="26"/>
      <c r="B56" s="27"/>
      <c r="C56" s="26"/>
      <c r="D56" s="26"/>
      <c r="E56" s="27"/>
    </row>
    <row r="57" spans="1:5">
      <c r="A57" s="26"/>
      <c r="B57" s="27"/>
      <c r="C57" s="26"/>
      <c r="D57" s="26"/>
      <c r="E57" s="27"/>
    </row>
    <row r="58" spans="1:5">
      <c r="A58" s="26"/>
      <c r="B58" s="27"/>
      <c r="C58" s="26"/>
      <c r="D58" s="26"/>
      <c r="E58" s="27"/>
    </row>
    <row r="59" spans="1:5">
      <c r="A59" s="26"/>
      <c r="B59" s="27"/>
      <c r="C59" s="26"/>
      <c r="D59" s="26"/>
      <c r="E59" s="27"/>
    </row>
    <row r="60" ht="36.75" customHeight="1" spans="1:5">
      <c r="A60" s="26"/>
      <c r="B60" s="27"/>
      <c r="C60" s="26"/>
      <c r="D60" s="26"/>
      <c r="E60" s="27"/>
    </row>
    <row r="61" spans="1:5">
      <c r="A61" s="26"/>
      <c r="B61" s="27"/>
      <c r="C61" s="26"/>
      <c r="D61" s="26"/>
      <c r="E61" s="27"/>
    </row>
    <row r="62" spans="1:5">
      <c r="A62" s="26"/>
      <c r="B62" s="27"/>
      <c r="C62" s="26"/>
      <c r="D62" s="26"/>
      <c r="E62" s="27"/>
    </row>
    <row r="63" spans="1:5">
      <c r="A63" s="26"/>
      <c r="B63" s="27"/>
      <c r="C63" s="26"/>
      <c r="D63" s="26"/>
      <c r="E63" s="27"/>
    </row>
    <row r="64" spans="1:5">
      <c r="A64" s="26"/>
      <c r="B64" s="27"/>
      <c r="C64" s="26"/>
      <c r="D64" s="26"/>
      <c r="E64" s="27"/>
    </row>
    <row r="65" ht="24" customHeight="1" spans="1:5">
      <c r="A65" s="26"/>
      <c r="B65" s="27"/>
      <c r="C65" s="26"/>
      <c r="D65" s="26"/>
      <c r="E65" s="27"/>
    </row>
    <row r="66" spans="1:5">
      <c r="A66" s="26"/>
      <c r="B66" s="27"/>
      <c r="C66" s="26"/>
      <c r="D66" s="26"/>
      <c r="E66" s="27"/>
    </row>
    <row r="67" spans="1:5">
      <c r="A67" s="26"/>
      <c r="B67" s="27"/>
      <c r="C67" s="26"/>
      <c r="D67" s="26"/>
      <c r="E67" s="27"/>
    </row>
    <row r="68" spans="1:5">
      <c r="A68" s="26"/>
      <c r="B68" s="27"/>
      <c r="C68" s="26"/>
      <c r="D68" s="26"/>
      <c r="E68" s="27"/>
    </row>
    <row r="69" spans="1:5">
      <c r="A69" s="26"/>
      <c r="B69" s="27"/>
      <c r="C69" s="26"/>
      <c r="D69" s="26"/>
      <c r="E69" s="27"/>
    </row>
    <row r="70" spans="1:5">
      <c r="A70" s="26"/>
      <c r="B70" s="27"/>
      <c r="C70" s="26"/>
      <c r="D70" s="26"/>
      <c r="E70" s="27"/>
    </row>
    <row r="71" spans="1:5">
      <c r="A71" s="26"/>
      <c r="B71" s="27"/>
      <c r="C71" s="26"/>
      <c r="D71" s="26"/>
      <c r="E71" s="27"/>
    </row>
    <row r="72" spans="1:5">
      <c r="A72" s="26"/>
      <c r="B72" s="27"/>
      <c r="C72" s="26"/>
      <c r="D72" s="26"/>
      <c r="E72" s="27"/>
    </row>
    <row r="73" spans="1:5">
      <c r="A73" s="26"/>
      <c r="B73" s="27"/>
      <c r="C73" s="26"/>
      <c r="D73" s="26"/>
      <c r="E73" s="27"/>
    </row>
    <row r="74" spans="1:5">
      <c r="A74" s="26"/>
      <c r="B74" s="27"/>
      <c r="C74" s="26"/>
      <c r="D74" s="26"/>
      <c r="E74" s="27"/>
    </row>
    <row r="75" ht="24.75" customHeight="1" spans="1:5">
      <c r="A75" s="26"/>
      <c r="B75" s="27"/>
      <c r="C75" s="26"/>
      <c r="D75" s="26"/>
      <c r="E75" s="27"/>
    </row>
    <row r="76" spans="1:5">
      <c r="A76" s="26"/>
      <c r="B76" s="27"/>
      <c r="C76" s="26"/>
      <c r="D76" s="26"/>
      <c r="E76" s="27"/>
    </row>
    <row r="77" spans="1:5">
      <c r="A77" s="26"/>
      <c r="B77" s="27"/>
      <c r="C77" s="26"/>
      <c r="D77" s="26"/>
      <c r="E77" s="27"/>
    </row>
    <row r="78" spans="1:5">
      <c r="A78" s="26"/>
      <c r="B78" s="27"/>
      <c r="C78" s="26"/>
      <c r="D78" s="26"/>
      <c r="E78" s="27"/>
    </row>
    <row r="79" spans="1:5">
      <c r="A79" s="26"/>
      <c r="B79" s="27"/>
      <c r="C79" s="26"/>
      <c r="D79" s="26"/>
      <c r="E79" s="27"/>
    </row>
    <row r="80" spans="1:5">
      <c r="A80" s="26"/>
      <c r="B80" s="27"/>
      <c r="C80" s="26"/>
      <c r="D80" s="26"/>
      <c r="E80" s="27"/>
    </row>
    <row r="81" spans="1:5">
      <c r="A81" s="26"/>
      <c r="B81" s="27"/>
      <c r="C81" s="26"/>
      <c r="D81" s="26"/>
      <c r="E81" s="27"/>
    </row>
    <row r="82" spans="1:5">
      <c r="A82" s="26"/>
      <c r="B82" s="27"/>
      <c r="C82" s="26"/>
      <c r="D82" s="26"/>
      <c r="E82" s="27"/>
    </row>
    <row r="83" ht="48.75" customHeight="1" spans="1:5">
      <c r="A83" s="26"/>
      <c r="B83" s="27"/>
      <c r="C83" s="26"/>
      <c r="D83" s="26"/>
      <c r="E83" s="27"/>
    </row>
    <row r="84" spans="1:5">
      <c r="A84" s="26"/>
      <c r="B84" s="27"/>
      <c r="C84" s="26"/>
      <c r="D84" s="26"/>
      <c r="E84" s="27"/>
    </row>
    <row r="85" spans="1:5">
      <c r="A85" s="26"/>
      <c r="B85" s="27"/>
      <c r="C85" s="26"/>
      <c r="D85" s="26"/>
      <c r="E85" s="27"/>
    </row>
    <row r="86" spans="1:5">
      <c r="A86" s="26"/>
      <c r="B86" s="27"/>
      <c r="C86" s="26"/>
      <c r="D86" s="26"/>
      <c r="E86" s="27"/>
    </row>
    <row r="87" spans="1:5">
      <c r="A87" s="26"/>
      <c r="B87" s="27"/>
      <c r="C87" s="26"/>
      <c r="D87" s="26"/>
      <c r="E87" s="27"/>
    </row>
    <row r="88" spans="1:5">
      <c r="A88" s="26"/>
      <c r="B88" s="27"/>
      <c r="C88" s="26"/>
      <c r="D88" s="26"/>
      <c r="E88" s="27"/>
    </row>
    <row r="89" spans="1:5">
      <c r="A89" s="26"/>
      <c r="B89" s="27"/>
      <c r="C89" s="26"/>
      <c r="D89" s="26"/>
      <c r="E89" s="27"/>
    </row>
    <row r="90" spans="1:5">
      <c r="A90" s="26"/>
      <c r="B90" s="27"/>
      <c r="C90" s="26"/>
      <c r="D90" s="26"/>
      <c r="E90" s="27"/>
    </row>
    <row r="91" spans="1:5">
      <c r="A91" s="26"/>
      <c r="B91" s="27"/>
      <c r="C91" s="26"/>
      <c r="D91" s="26"/>
      <c r="E91" s="27"/>
    </row>
    <row r="92" spans="1:5">
      <c r="A92" s="26"/>
      <c r="B92" s="27"/>
      <c r="C92" s="26"/>
      <c r="D92" s="26"/>
      <c r="E92" s="27"/>
    </row>
    <row r="93" spans="1:5">
      <c r="A93" s="26"/>
      <c r="B93" s="27"/>
      <c r="C93" s="26"/>
      <c r="D93" s="26"/>
      <c r="E93" s="27"/>
    </row>
    <row r="94" spans="1:5">
      <c r="A94" s="26"/>
      <c r="B94" s="27"/>
      <c r="C94" s="26"/>
      <c r="D94" s="26"/>
      <c r="E94" s="27"/>
    </row>
    <row r="95" spans="1:5">
      <c r="A95" s="26"/>
      <c r="B95" s="27"/>
      <c r="C95" s="26"/>
      <c r="D95" s="26"/>
      <c r="E95" s="27"/>
    </row>
    <row r="96" spans="1:5">
      <c r="A96" s="26"/>
      <c r="B96" s="27"/>
      <c r="C96" s="26"/>
      <c r="D96" s="26"/>
      <c r="E96" s="27"/>
    </row>
    <row r="97" spans="1:5">
      <c r="A97" s="26"/>
      <c r="B97" s="27"/>
      <c r="C97" s="26"/>
      <c r="D97" s="26"/>
      <c r="E97" s="27"/>
    </row>
    <row r="98" spans="1:5">
      <c r="A98" s="26"/>
      <c r="B98" s="27"/>
      <c r="C98" s="26"/>
      <c r="D98" s="26"/>
      <c r="E98" s="27"/>
    </row>
    <row r="99" spans="1:5">
      <c r="A99" s="26"/>
      <c r="B99" s="27"/>
      <c r="C99" s="26"/>
      <c r="D99" s="26"/>
      <c r="E99" s="27"/>
    </row>
    <row r="100" spans="1:5">
      <c r="A100" s="26"/>
      <c r="B100" s="27"/>
      <c r="C100" s="26"/>
      <c r="D100" s="26"/>
      <c r="E100" s="27"/>
    </row>
    <row r="101" spans="1:5">
      <c r="A101" s="26"/>
      <c r="B101" s="27"/>
      <c r="C101" s="26"/>
      <c r="D101" s="26"/>
      <c r="E101" s="27"/>
    </row>
    <row r="102" spans="1:5">
      <c r="A102" s="26"/>
      <c r="B102" s="27"/>
      <c r="C102" s="26"/>
      <c r="D102" s="26"/>
      <c r="E102" s="27"/>
    </row>
    <row r="103" spans="1:5">
      <c r="A103" s="26"/>
      <c r="B103" s="27"/>
      <c r="C103" s="26"/>
      <c r="D103" s="26"/>
      <c r="E103" s="27"/>
    </row>
    <row r="104" spans="1:5">
      <c r="A104" s="26"/>
      <c r="B104" s="27"/>
      <c r="C104" s="26"/>
      <c r="D104" s="26"/>
      <c r="E104" s="27"/>
    </row>
    <row r="105" customHeight="1" spans="1:5">
      <c r="A105" s="26"/>
      <c r="B105" s="27"/>
      <c r="C105" s="26"/>
      <c r="D105" s="26"/>
      <c r="E105" s="27"/>
    </row>
    <row r="106" spans="1:5">
      <c r="A106" s="26"/>
      <c r="B106" s="27"/>
      <c r="C106" s="26"/>
      <c r="D106" s="26"/>
      <c r="E106" s="27"/>
    </row>
    <row r="107" spans="1:5">
      <c r="A107" s="26"/>
      <c r="B107" s="27"/>
      <c r="C107" s="26"/>
      <c r="D107" s="26"/>
      <c r="E107" s="27"/>
    </row>
    <row r="108" spans="1:5">
      <c r="A108" s="26"/>
      <c r="B108" s="27"/>
      <c r="C108" s="26"/>
      <c r="D108" s="26"/>
      <c r="E108" s="27"/>
    </row>
    <row r="109" spans="1:5">
      <c r="A109" s="26"/>
      <c r="B109" s="27"/>
      <c r="C109" s="26"/>
      <c r="D109" s="26"/>
      <c r="E109" s="27"/>
    </row>
    <row r="110" spans="1:5">
      <c r="A110" s="26"/>
      <c r="B110" s="27"/>
      <c r="C110" s="26"/>
      <c r="D110" s="26"/>
      <c r="E110" s="27"/>
    </row>
    <row r="111" spans="1:5">
      <c r="A111" s="26"/>
      <c r="B111" s="27"/>
      <c r="C111" s="26"/>
      <c r="D111" s="26"/>
      <c r="E111" s="27"/>
    </row>
    <row r="112" spans="1:5">
      <c r="A112" s="26"/>
      <c r="B112" s="27"/>
      <c r="C112" s="26"/>
      <c r="D112" s="26"/>
      <c r="E112" s="27"/>
    </row>
    <row r="113" spans="1:5">
      <c r="A113" s="26"/>
      <c r="B113" s="27"/>
      <c r="C113" s="26"/>
      <c r="D113" s="26"/>
      <c r="E113" s="27"/>
    </row>
    <row r="114" spans="1:5">
      <c r="A114" s="26"/>
      <c r="B114" s="27"/>
      <c r="C114" s="26"/>
      <c r="D114" s="26"/>
      <c r="E114" s="27"/>
    </row>
    <row r="115" spans="1:5">
      <c r="A115" s="26"/>
      <c r="B115" s="27"/>
      <c r="C115" s="26"/>
      <c r="D115" s="26"/>
      <c r="E115" s="27"/>
    </row>
    <row r="116" spans="1:5">
      <c r="A116" s="26"/>
      <c r="B116" s="27"/>
      <c r="C116" s="26"/>
      <c r="D116" s="26"/>
      <c r="E116" s="27"/>
    </row>
    <row r="117" spans="1:5">
      <c r="A117" s="26"/>
      <c r="B117" s="27"/>
      <c r="C117" s="26"/>
      <c r="D117" s="26"/>
      <c r="E117" s="27"/>
    </row>
    <row r="118" spans="1:5">
      <c r="A118" s="26"/>
      <c r="B118" s="27"/>
      <c r="C118" s="26"/>
      <c r="D118" s="26"/>
      <c r="E118" s="27"/>
    </row>
    <row r="119" spans="1:5">
      <c r="A119" s="26"/>
      <c r="B119" s="27"/>
      <c r="C119" s="26"/>
      <c r="D119" s="26"/>
      <c r="E119" s="27"/>
    </row>
    <row r="120" spans="1:5">
      <c r="A120" s="26"/>
      <c r="B120" s="27"/>
      <c r="C120" s="26"/>
      <c r="D120" s="26"/>
      <c r="E120" s="27"/>
    </row>
    <row r="121" spans="1:5">
      <c r="A121" s="26"/>
      <c r="B121" s="27"/>
      <c r="C121" s="26"/>
      <c r="D121" s="26"/>
      <c r="E121" s="27"/>
    </row>
    <row r="122" spans="1:5">
      <c r="A122" s="26"/>
      <c r="B122" s="27"/>
      <c r="C122" s="26"/>
      <c r="D122" s="26"/>
      <c r="E122" s="27"/>
    </row>
    <row r="123" spans="1:5">
      <c r="A123" s="26"/>
      <c r="B123" s="27"/>
      <c r="C123" s="26"/>
      <c r="D123" s="26"/>
      <c r="E123" s="27"/>
    </row>
    <row r="124" spans="1:5">
      <c r="A124" s="26"/>
      <c r="B124" s="27"/>
      <c r="C124" s="26"/>
      <c r="D124" s="26"/>
      <c r="E124" s="27"/>
    </row>
    <row r="125" spans="1:5">
      <c r="A125" s="26"/>
      <c r="B125" s="27"/>
      <c r="C125" s="26"/>
      <c r="D125" s="26"/>
      <c r="E125" s="27"/>
    </row>
    <row r="126" spans="1:5">
      <c r="A126" s="26"/>
      <c r="B126" s="27"/>
      <c r="C126" s="26"/>
      <c r="D126" s="26"/>
      <c r="E126" s="27"/>
    </row>
    <row r="127" spans="1:5">
      <c r="A127" s="26"/>
      <c r="B127" s="27"/>
      <c r="C127" s="26"/>
      <c r="D127" s="26"/>
      <c r="E127" s="27"/>
    </row>
    <row r="128" spans="1:5">
      <c r="A128" s="26"/>
      <c r="B128" s="27"/>
      <c r="C128" s="26"/>
      <c r="D128" s="26"/>
      <c r="E128" s="27"/>
    </row>
    <row r="129" spans="1:5">
      <c r="A129" s="26"/>
      <c r="B129" s="27"/>
      <c r="C129" s="26"/>
      <c r="D129" s="26"/>
      <c r="E129" s="27"/>
    </row>
    <row r="130" spans="1:5">
      <c r="A130" s="26"/>
      <c r="B130" s="27"/>
      <c r="C130" s="26"/>
      <c r="D130" s="26"/>
      <c r="E130" s="27"/>
    </row>
    <row r="131" spans="1:5">
      <c r="A131" s="26"/>
      <c r="B131" s="27"/>
      <c r="C131" s="26"/>
      <c r="D131" s="26"/>
      <c r="E131" s="27"/>
    </row>
    <row r="132" spans="1:5">
      <c r="A132" s="28"/>
      <c r="B132" s="29"/>
      <c r="C132" s="28"/>
      <c r="D132" s="28"/>
      <c r="E132" s="29"/>
    </row>
    <row r="133" spans="1:5">
      <c r="A133" s="26"/>
      <c r="B133" s="27"/>
      <c r="C133" s="26"/>
      <c r="D133" s="26"/>
      <c r="E133" s="27"/>
    </row>
    <row r="134" spans="1:5">
      <c r="A134" s="26"/>
      <c r="B134" s="27"/>
      <c r="C134" s="26"/>
      <c r="D134" s="26"/>
      <c r="E134" s="27"/>
    </row>
    <row r="135" spans="1:5">
      <c r="A135" s="26"/>
      <c r="B135" s="27"/>
      <c r="C135" s="26"/>
      <c r="D135" s="26"/>
      <c r="E135" s="27"/>
    </row>
    <row r="136" spans="1:5">
      <c r="A136" s="26"/>
      <c r="B136" s="27"/>
      <c r="C136" s="26"/>
      <c r="D136" s="26"/>
      <c r="E136" s="27"/>
    </row>
    <row r="137" ht="24" customHeight="1" spans="1:5">
      <c r="A137" s="26"/>
      <c r="B137" s="27"/>
      <c r="C137" s="26"/>
      <c r="D137" s="26"/>
      <c r="E137" s="27"/>
    </row>
    <row r="138" customHeight="1" spans="1:5">
      <c r="A138" s="26"/>
      <c r="B138" s="27"/>
      <c r="C138" s="26"/>
      <c r="D138" s="26"/>
      <c r="E138" s="27"/>
    </row>
    <row r="139" customHeight="1" spans="1:5">
      <c r="A139" s="26"/>
      <c r="B139" s="27"/>
      <c r="C139" s="26"/>
      <c r="D139" s="26"/>
      <c r="E139" s="27"/>
    </row>
    <row r="140" spans="1:5">
      <c r="A140" s="26"/>
      <c r="B140" s="27"/>
      <c r="C140" s="26"/>
      <c r="D140" s="26"/>
      <c r="E140" s="27"/>
    </row>
    <row r="141" spans="1:5">
      <c r="A141" s="26"/>
      <c r="B141" s="27"/>
      <c r="C141" s="26"/>
      <c r="D141" s="26"/>
      <c r="E141" s="27"/>
    </row>
    <row r="142" customHeight="1" spans="1:5">
      <c r="A142" s="26"/>
      <c r="B142" s="27"/>
      <c r="C142" s="26"/>
      <c r="D142" s="26"/>
      <c r="E142" s="27"/>
    </row>
    <row r="143" spans="1:5">
      <c r="A143" s="26"/>
      <c r="B143" s="27"/>
      <c r="C143" s="26"/>
      <c r="D143" s="26"/>
      <c r="E143" s="27"/>
    </row>
    <row r="144" ht="24" customHeight="1" spans="1:5">
      <c r="A144" s="26"/>
      <c r="B144" s="27"/>
      <c r="C144" s="26"/>
      <c r="D144" s="26"/>
      <c r="E144" s="27"/>
    </row>
    <row r="145" ht="24" customHeight="1" spans="1:5">
      <c r="A145" s="26"/>
      <c r="B145" s="27"/>
      <c r="C145" s="26"/>
      <c r="D145" s="26"/>
      <c r="E145" s="27"/>
    </row>
    <row r="146" ht="48" customHeight="1" spans="1:5">
      <c r="A146" s="26"/>
      <c r="B146" s="27"/>
      <c r="C146" s="26"/>
      <c r="D146" s="26"/>
      <c r="E146" s="27"/>
    </row>
    <row r="147" spans="1:5">
      <c r="A147" s="26"/>
      <c r="B147" s="27"/>
      <c r="C147" s="26"/>
      <c r="D147" s="26"/>
      <c r="E147" s="27"/>
    </row>
    <row r="148" spans="1:5">
      <c r="A148" s="26"/>
      <c r="B148" s="27"/>
      <c r="C148" s="26"/>
      <c r="D148" s="26"/>
      <c r="E148" s="27"/>
    </row>
    <row r="149" ht="48" customHeight="1" spans="1:5">
      <c r="A149" s="26"/>
      <c r="B149" s="27"/>
      <c r="C149" s="26"/>
      <c r="D149" s="26"/>
      <c r="E149" s="27"/>
    </row>
    <row r="150" spans="1:5">
      <c r="A150" s="26"/>
      <c r="B150" s="27"/>
      <c r="C150" s="26"/>
      <c r="D150" s="26"/>
      <c r="E150" s="27"/>
    </row>
    <row r="151" customHeight="1" spans="1:5">
      <c r="A151" s="26"/>
      <c r="B151" s="27"/>
      <c r="C151" s="26"/>
      <c r="D151" s="26"/>
      <c r="E151" s="27"/>
    </row>
    <row r="152" customHeight="1" spans="1:5">
      <c r="A152" s="26"/>
      <c r="B152" s="27"/>
      <c r="C152" s="26"/>
      <c r="D152" s="26"/>
      <c r="E152" s="27"/>
    </row>
    <row r="153" customHeight="1" spans="1:5">
      <c r="A153" s="26"/>
      <c r="B153" s="27"/>
      <c r="C153" s="26"/>
      <c r="D153" s="26"/>
      <c r="E153" s="27"/>
    </row>
    <row r="154" spans="1:5">
      <c r="A154" s="26"/>
      <c r="B154" s="27"/>
      <c r="C154" s="26"/>
      <c r="D154" s="26"/>
      <c r="E154" s="27"/>
    </row>
    <row r="155" spans="1:5">
      <c r="A155" s="26"/>
      <c r="B155" s="27"/>
      <c r="C155" s="26"/>
      <c r="D155" s="26"/>
      <c r="E155" s="27"/>
    </row>
    <row r="156" spans="1:5">
      <c r="A156" s="26"/>
      <c r="B156" s="27"/>
      <c r="C156" s="26"/>
      <c r="D156" s="26"/>
      <c r="E156" s="27"/>
    </row>
    <row r="157" spans="1:5">
      <c r="A157" s="26"/>
      <c r="B157" s="27"/>
      <c r="C157" s="26"/>
      <c r="D157" s="26"/>
      <c r="E157" s="27"/>
    </row>
    <row r="158" spans="1:5">
      <c r="A158" s="26"/>
      <c r="B158" s="27"/>
      <c r="C158" s="26"/>
      <c r="D158" s="26"/>
      <c r="E158" s="27"/>
    </row>
    <row r="159" spans="1:5">
      <c r="A159" s="26"/>
      <c r="B159" s="27"/>
      <c r="C159" s="26"/>
      <c r="D159" s="26"/>
      <c r="E159" s="27"/>
    </row>
    <row r="160" spans="1:5">
      <c r="A160" s="26"/>
      <c r="B160" s="27"/>
      <c r="C160" s="26"/>
      <c r="D160" s="26"/>
      <c r="E160" s="27"/>
    </row>
    <row r="161" spans="1:5">
      <c r="A161" s="26"/>
      <c r="B161" s="27"/>
      <c r="C161" s="26"/>
      <c r="D161" s="26"/>
      <c r="E161" s="27"/>
    </row>
    <row r="162" spans="1:5">
      <c r="A162" s="26"/>
      <c r="B162" s="27"/>
      <c r="C162" s="26"/>
      <c r="D162" s="26"/>
      <c r="E162" s="27"/>
    </row>
    <row r="163" spans="1:5">
      <c r="A163" s="26"/>
      <c r="B163" s="27"/>
      <c r="C163" s="26"/>
      <c r="D163" s="26"/>
      <c r="E163" s="27"/>
    </row>
    <row r="164" spans="1:5">
      <c r="A164" s="26"/>
      <c r="B164" s="27"/>
      <c r="C164" s="26"/>
      <c r="D164" s="26"/>
      <c r="E164" s="27"/>
    </row>
    <row r="165" ht="24" customHeight="1" spans="1:5">
      <c r="A165" s="26"/>
      <c r="B165" s="27"/>
      <c r="C165" s="26"/>
      <c r="D165" s="26"/>
      <c r="E165" s="27"/>
    </row>
    <row r="166" customHeight="1" spans="1:5">
      <c r="A166" s="26"/>
      <c r="B166" s="27"/>
      <c r="C166" s="26"/>
      <c r="D166" s="26"/>
      <c r="E166" s="27"/>
    </row>
    <row r="167" spans="1:5">
      <c r="A167" s="26"/>
      <c r="B167" s="27"/>
      <c r="C167" s="26"/>
      <c r="D167" s="26"/>
      <c r="E167" s="27"/>
    </row>
    <row r="168" ht="36" customHeight="1" spans="1:5">
      <c r="A168" s="26"/>
      <c r="B168" s="27"/>
      <c r="C168" s="26"/>
      <c r="D168" s="26"/>
      <c r="E168" s="27"/>
    </row>
    <row r="169" spans="1:5">
      <c r="A169" s="26"/>
      <c r="B169" s="27"/>
      <c r="C169" s="26"/>
      <c r="D169" s="26"/>
      <c r="E169" s="27"/>
    </row>
    <row r="170" spans="1:5">
      <c r="A170" s="26"/>
      <c r="B170" s="27"/>
      <c r="C170" s="26"/>
      <c r="D170" s="26"/>
      <c r="E170" s="27"/>
    </row>
    <row r="171" spans="1:5">
      <c r="A171" s="26"/>
      <c r="B171" s="27"/>
      <c r="C171" s="26"/>
      <c r="D171" s="26"/>
      <c r="E171" s="27"/>
    </row>
    <row r="172" spans="1:5">
      <c r="A172" s="26"/>
      <c r="B172" s="27"/>
      <c r="C172" s="26"/>
      <c r="D172" s="26"/>
      <c r="E172" s="27"/>
    </row>
    <row r="173" spans="1:5">
      <c r="A173" s="26"/>
      <c r="B173" s="27"/>
      <c r="C173" s="26"/>
      <c r="D173" s="26"/>
      <c r="E173" s="27"/>
    </row>
    <row r="174" spans="1:5">
      <c r="A174" s="26"/>
      <c r="B174" s="27"/>
      <c r="C174" s="26"/>
      <c r="D174" s="26"/>
      <c r="E174" s="27"/>
    </row>
    <row r="175" spans="1:5">
      <c r="A175" s="26"/>
      <c r="B175" s="27"/>
      <c r="C175" s="26"/>
      <c r="D175" s="26"/>
      <c r="E175" s="27"/>
    </row>
    <row r="176" spans="1:5">
      <c r="A176" s="26"/>
      <c r="B176" s="27"/>
      <c r="C176" s="26"/>
      <c r="D176" s="26"/>
      <c r="E176" s="27"/>
    </row>
    <row r="177" spans="1:5">
      <c r="A177" s="26"/>
      <c r="B177" s="27"/>
      <c r="C177" s="26"/>
      <c r="D177" s="26"/>
      <c r="E177" s="27"/>
    </row>
    <row r="178" spans="1:5">
      <c r="A178" s="26"/>
      <c r="B178" s="27"/>
      <c r="C178" s="26"/>
      <c r="D178" s="26"/>
      <c r="E178" s="27"/>
    </row>
    <row r="179" spans="1:5">
      <c r="A179" s="26"/>
      <c r="B179" s="27"/>
      <c r="C179" s="26"/>
      <c r="D179" s="26"/>
      <c r="E179" s="27"/>
    </row>
    <row r="180" spans="1:5">
      <c r="A180" s="26"/>
      <c r="B180" s="27"/>
      <c r="C180" s="26"/>
      <c r="D180" s="26"/>
      <c r="E180" s="27"/>
    </row>
    <row r="181" spans="1:5">
      <c r="A181" s="26"/>
      <c r="B181" s="27"/>
      <c r="C181" s="26"/>
      <c r="D181" s="26"/>
      <c r="E181" s="27"/>
    </row>
    <row r="182" customHeight="1" spans="1:5">
      <c r="A182" s="26"/>
      <c r="B182" s="27"/>
      <c r="C182" s="26"/>
      <c r="D182" s="26"/>
      <c r="E182" s="27"/>
    </row>
    <row r="183" ht="24" customHeight="1" spans="1:5">
      <c r="A183" s="26"/>
      <c r="B183" s="27"/>
      <c r="C183" s="26"/>
      <c r="D183" s="26"/>
      <c r="E183" s="27"/>
    </row>
    <row r="184" spans="1:5">
      <c r="A184" s="26"/>
      <c r="B184" s="27"/>
      <c r="C184" s="26"/>
      <c r="D184" s="26"/>
      <c r="E184" s="27"/>
    </row>
    <row r="185" customHeight="1" spans="1:5">
      <c r="A185" s="26"/>
      <c r="B185" s="27"/>
      <c r="C185" s="26"/>
      <c r="D185" s="26"/>
      <c r="E185" s="27"/>
    </row>
    <row r="186" spans="1:5">
      <c r="A186" s="26"/>
      <c r="B186" s="27"/>
      <c r="C186" s="26"/>
      <c r="D186" s="26"/>
      <c r="E186" s="27"/>
    </row>
    <row r="187" ht="48" customHeight="1" spans="1:5">
      <c r="A187" s="26"/>
      <c r="B187" s="27"/>
      <c r="C187" s="26"/>
      <c r="D187" s="26"/>
      <c r="E187" s="27"/>
    </row>
    <row r="188" ht="24" customHeight="1" spans="1:5">
      <c r="A188" s="26"/>
      <c r="B188" s="27"/>
      <c r="C188" s="26"/>
      <c r="D188" s="26"/>
      <c r="E188" s="27"/>
    </row>
    <row r="189" spans="1:5">
      <c r="A189" s="26"/>
      <c r="B189" s="27"/>
      <c r="C189" s="26"/>
      <c r="D189" s="26"/>
      <c r="E189" s="27"/>
    </row>
    <row r="190" spans="1:5">
      <c r="A190" s="26"/>
      <c r="B190" s="27"/>
      <c r="C190" s="26"/>
      <c r="D190" s="26"/>
      <c r="E190" s="27"/>
    </row>
    <row r="191" spans="1:5">
      <c r="A191" s="26"/>
      <c r="B191" s="27"/>
      <c r="C191" s="26"/>
      <c r="D191" s="26"/>
      <c r="E191" s="27"/>
    </row>
    <row r="192" spans="1:5">
      <c r="A192" s="26"/>
      <c r="B192" s="27"/>
      <c r="C192" s="26"/>
      <c r="D192" s="26"/>
      <c r="E192" s="27"/>
    </row>
    <row r="193" spans="1:5">
      <c r="A193" s="26"/>
      <c r="B193" s="27"/>
      <c r="C193" s="26"/>
      <c r="D193" s="26"/>
      <c r="E193" s="27"/>
    </row>
    <row r="194" spans="1:5">
      <c r="A194" s="26"/>
      <c r="B194" s="27"/>
      <c r="C194" s="26"/>
      <c r="D194" s="26"/>
      <c r="E194" s="27"/>
    </row>
    <row r="195" spans="1:5">
      <c r="A195" s="26"/>
      <c r="B195" s="27"/>
      <c r="C195" s="26"/>
      <c r="D195" s="26"/>
      <c r="E195" s="27"/>
    </row>
    <row r="196" spans="1:5">
      <c r="A196" s="26"/>
      <c r="B196" s="27"/>
      <c r="C196" s="26"/>
      <c r="D196" s="26"/>
      <c r="E196" s="27"/>
    </row>
    <row r="197" spans="1:5">
      <c r="A197" s="26"/>
      <c r="B197" s="27"/>
      <c r="C197" s="26"/>
      <c r="D197" s="26"/>
      <c r="E197" s="27"/>
    </row>
    <row r="198" spans="1:5">
      <c r="A198" s="26"/>
      <c r="B198" s="27"/>
      <c r="C198" s="26"/>
      <c r="D198" s="26"/>
      <c r="E198" s="27"/>
    </row>
    <row r="199" spans="1:5">
      <c r="A199" s="26"/>
      <c r="B199" s="27"/>
      <c r="C199" s="26"/>
      <c r="D199" s="26"/>
      <c r="E199" s="27"/>
    </row>
    <row r="200" spans="1:5">
      <c r="A200" s="26"/>
      <c r="B200" s="27"/>
      <c r="C200" s="26"/>
      <c r="D200" s="26"/>
      <c r="E200" s="27"/>
    </row>
    <row r="201" spans="1:5">
      <c r="A201" s="26"/>
      <c r="B201" s="27"/>
      <c r="C201" s="26"/>
      <c r="D201" s="26"/>
      <c r="E201" s="27"/>
    </row>
    <row r="202" spans="1:5">
      <c r="A202" s="26"/>
      <c r="B202" s="27"/>
      <c r="C202" s="26"/>
      <c r="D202" s="26"/>
      <c r="E202" s="27"/>
    </row>
    <row r="203" spans="1:5">
      <c r="A203" s="26"/>
      <c r="B203" s="27"/>
      <c r="C203" s="26"/>
      <c r="D203" s="26"/>
      <c r="E203" s="27"/>
    </row>
    <row r="204" spans="1:5">
      <c r="A204" s="26"/>
      <c r="B204" s="27"/>
      <c r="C204" s="26"/>
      <c r="D204" s="26"/>
      <c r="E204" s="27"/>
    </row>
    <row r="205" spans="1:5">
      <c r="A205" s="26"/>
      <c r="B205" s="27"/>
      <c r="C205" s="26"/>
      <c r="D205" s="26"/>
      <c r="E205" s="27"/>
    </row>
    <row r="206" spans="1:5">
      <c r="A206" s="26"/>
      <c r="B206" s="27"/>
      <c r="C206" s="26"/>
      <c r="D206" s="26"/>
      <c r="E206" s="27"/>
    </row>
    <row r="207" customHeight="1" spans="1:5">
      <c r="A207" s="26"/>
      <c r="B207" s="27"/>
      <c r="C207" s="26"/>
      <c r="D207" s="26"/>
      <c r="E207" s="27"/>
    </row>
    <row r="208" spans="1:5">
      <c r="A208" s="26"/>
      <c r="B208" s="27"/>
      <c r="C208" s="26"/>
      <c r="D208" s="26"/>
      <c r="E208" s="27"/>
    </row>
    <row r="209" spans="1:5">
      <c r="A209" s="26"/>
      <c r="B209" s="27"/>
      <c r="C209" s="26"/>
      <c r="D209" s="26"/>
      <c r="E209" s="27"/>
    </row>
    <row r="210" spans="1:5">
      <c r="A210" s="26"/>
      <c r="B210" s="27"/>
      <c r="C210" s="26"/>
      <c r="D210" s="26"/>
      <c r="E210" s="27"/>
    </row>
    <row r="211" spans="1:5">
      <c r="A211" s="26"/>
      <c r="B211" s="27"/>
      <c r="C211" s="26"/>
      <c r="D211" s="26"/>
      <c r="E211" s="27"/>
    </row>
    <row r="212" spans="1:5">
      <c r="A212" s="26"/>
      <c r="B212" s="27"/>
      <c r="C212" s="26"/>
      <c r="D212" s="26"/>
      <c r="E212" s="27"/>
    </row>
    <row r="213" spans="1:5">
      <c r="A213" s="26"/>
      <c r="B213" s="27"/>
      <c r="C213" s="26"/>
      <c r="D213" s="26"/>
      <c r="E213" s="27"/>
    </row>
    <row r="214" spans="1:5">
      <c r="A214" s="26"/>
      <c r="B214" s="27"/>
      <c r="C214" s="26"/>
      <c r="D214" s="26"/>
      <c r="E214" s="27"/>
    </row>
    <row r="215" spans="1:5">
      <c r="A215" s="26"/>
      <c r="B215" s="27"/>
      <c r="C215" s="26"/>
      <c r="D215" s="26"/>
      <c r="E215" s="27"/>
    </row>
    <row r="216" spans="1:5">
      <c r="A216" s="26"/>
      <c r="B216" s="27"/>
      <c r="C216" s="26"/>
      <c r="D216" s="26"/>
      <c r="E216" s="27"/>
    </row>
    <row r="217" spans="1:5">
      <c r="A217" s="26"/>
      <c r="B217" s="27"/>
      <c r="C217" s="26"/>
      <c r="D217" s="26"/>
      <c r="E217" s="27"/>
    </row>
    <row r="218" spans="1:5">
      <c r="A218" s="26"/>
      <c r="B218" s="27"/>
      <c r="C218" s="26"/>
      <c r="D218" s="26"/>
      <c r="E218" s="27"/>
    </row>
    <row r="219" spans="1:5">
      <c r="A219" s="26"/>
      <c r="B219" s="27"/>
      <c r="C219" s="26"/>
      <c r="D219" s="26"/>
      <c r="E219" s="27"/>
    </row>
    <row r="220" spans="1:5">
      <c r="A220" s="26"/>
      <c r="B220" s="27"/>
      <c r="C220" s="26"/>
      <c r="D220" s="26"/>
      <c r="E220" s="27"/>
    </row>
    <row r="221" spans="1:5">
      <c r="A221" s="26"/>
      <c r="B221" s="27"/>
      <c r="C221" s="26"/>
      <c r="D221" s="26"/>
      <c r="E221" s="27"/>
    </row>
    <row r="222" spans="1:5">
      <c r="A222" s="26"/>
      <c r="B222" s="27"/>
      <c r="C222" s="26"/>
      <c r="D222" s="26"/>
      <c r="E222" s="27"/>
    </row>
    <row r="223" spans="1:5">
      <c r="A223" s="26"/>
      <c r="B223" s="27"/>
      <c r="C223" s="26"/>
      <c r="D223" s="26"/>
      <c r="E223" s="27"/>
    </row>
    <row r="224" spans="1:5">
      <c r="A224" s="26"/>
      <c r="B224" s="27"/>
      <c r="C224" s="26"/>
      <c r="D224" s="26"/>
      <c r="E224" s="27"/>
    </row>
    <row r="225" spans="1:5">
      <c r="A225" s="26"/>
      <c r="B225" s="27"/>
      <c r="C225" s="26"/>
      <c r="D225" s="26"/>
      <c r="E225" s="27"/>
    </row>
    <row r="226" spans="1:5">
      <c r="A226" s="26"/>
      <c r="B226" s="27"/>
      <c r="C226" s="26"/>
      <c r="D226" s="26"/>
      <c r="E226" s="27"/>
    </row>
    <row r="227" spans="1:5">
      <c r="A227" s="26"/>
      <c r="B227" s="27"/>
      <c r="C227" s="26"/>
      <c r="D227" s="26"/>
      <c r="E227" s="27"/>
    </row>
    <row r="228" spans="1:5">
      <c r="A228" s="26"/>
      <c r="B228" s="27"/>
      <c r="C228" s="26"/>
      <c r="D228" s="26"/>
      <c r="E228" s="27"/>
    </row>
    <row r="229" spans="1:5">
      <c r="A229" s="26"/>
      <c r="B229" s="27"/>
      <c r="C229" s="26"/>
      <c r="D229" s="26"/>
      <c r="E229" s="27"/>
    </row>
    <row r="230" spans="1:5">
      <c r="A230" s="26"/>
      <c r="B230" s="27"/>
      <c r="C230" s="26"/>
      <c r="D230" s="26"/>
      <c r="E230" s="27"/>
    </row>
    <row r="231" spans="1:5">
      <c r="A231" s="26"/>
      <c r="B231" s="27"/>
      <c r="C231" s="26"/>
      <c r="D231" s="26"/>
      <c r="E231" s="27"/>
    </row>
    <row r="232" spans="1:5">
      <c r="A232" s="26"/>
      <c r="B232" s="27"/>
      <c r="C232" s="26"/>
      <c r="D232" s="26"/>
      <c r="E232" s="27"/>
    </row>
    <row r="233" spans="1:5">
      <c r="A233" s="26"/>
      <c r="B233" s="27"/>
      <c r="C233" s="26"/>
      <c r="D233" s="26"/>
      <c r="E233" s="27"/>
    </row>
    <row r="234" spans="1:5">
      <c r="A234" s="26"/>
      <c r="B234" s="27"/>
      <c r="C234" s="26"/>
      <c r="D234" s="26"/>
      <c r="E234" s="27"/>
    </row>
    <row r="235" spans="1:5">
      <c r="A235" s="26"/>
      <c r="B235" s="27"/>
      <c r="C235" s="26"/>
      <c r="D235" s="26"/>
      <c r="E235" s="27"/>
    </row>
    <row r="236" spans="1:5">
      <c r="A236" s="26"/>
      <c r="B236" s="27"/>
      <c r="C236" s="26"/>
      <c r="D236" s="26"/>
      <c r="E236" s="27"/>
    </row>
    <row r="237" spans="1:5">
      <c r="A237" s="26"/>
      <c r="B237" s="27"/>
      <c r="C237" s="26"/>
      <c r="D237" s="26"/>
      <c r="E237" s="27"/>
    </row>
    <row r="238" spans="1:5">
      <c r="A238" s="26"/>
      <c r="B238" s="27"/>
      <c r="C238" s="26"/>
      <c r="D238" s="26"/>
      <c r="E238" s="27"/>
    </row>
    <row r="239" spans="1:5">
      <c r="A239" s="26"/>
      <c r="B239" s="27"/>
      <c r="C239" s="26"/>
      <c r="D239" s="26"/>
      <c r="E239" s="27"/>
    </row>
    <row r="240" spans="1:5">
      <c r="A240" s="26"/>
      <c r="B240" s="27"/>
      <c r="C240" s="26"/>
      <c r="D240" s="26"/>
      <c r="E240" s="27"/>
    </row>
    <row r="241" spans="1:5">
      <c r="A241" s="26"/>
      <c r="B241" s="27"/>
      <c r="C241" s="26"/>
      <c r="D241" s="26"/>
      <c r="E241" s="27"/>
    </row>
    <row r="242" spans="1:5">
      <c r="A242" s="26"/>
      <c r="B242" s="27"/>
      <c r="C242" s="26"/>
      <c r="D242" s="26"/>
      <c r="E242" s="27"/>
    </row>
    <row r="243" spans="1:5">
      <c r="A243" s="26"/>
      <c r="B243" s="27"/>
      <c r="C243" s="26"/>
      <c r="D243" s="26"/>
      <c r="E243" s="27"/>
    </row>
    <row r="244" spans="1:5">
      <c r="A244" s="26"/>
      <c r="B244" s="27"/>
      <c r="C244" s="26"/>
      <c r="D244" s="26"/>
      <c r="E244" s="27"/>
    </row>
    <row r="245" spans="1:5">
      <c r="A245" s="26"/>
      <c r="B245" s="27"/>
      <c r="C245" s="26"/>
      <c r="D245" s="26"/>
      <c r="E245" s="27"/>
    </row>
    <row r="246" spans="1:5">
      <c r="A246" s="26"/>
      <c r="B246" s="27"/>
      <c r="C246" s="26"/>
      <c r="D246" s="26"/>
      <c r="E246" s="27"/>
    </row>
    <row r="247" spans="1:5">
      <c r="A247" s="26"/>
      <c r="B247" s="27"/>
      <c r="C247" s="26"/>
      <c r="D247" s="26"/>
      <c r="E247" s="27"/>
    </row>
    <row r="248" spans="1:5">
      <c r="A248" s="26"/>
      <c r="B248" s="27"/>
      <c r="C248" s="26"/>
      <c r="D248" s="26"/>
      <c r="E248" s="27"/>
    </row>
    <row r="249" spans="1:5">
      <c r="A249" s="26"/>
      <c r="B249" s="27"/>
      <c r="C249" s="26"/>
      <c r="D249" s="26"/>
      <c r="E249" s="27"/>
    </row>
    <row r="250" spans="1:5">
      <c r="A250" s="26"/>
      <c r="B250" s="27"/>
      <c r="C250" s="26"/>
      <c r="D250" s="26"/>
      <c r="E250" s="27"/>
    </row>
    <row r="251" spans="1:5">
      <c r="A251" s="26"/>
      <c r="B251" s="27"/>
      <c r="C251" s="26"/>
      <c r="D251" s="26"/>
      <c r="E251" s="27"/>
    </row>
    <row r="252" spans="1:5">
      <c r="A252" s="26"/>
      <c r="B252" s="27"/>
      <c r="C252" s="26"/>
      <c r="D252" s="26"/>
      <c r="E252" s="27"/>
    </row>
    <row r="253" spans="1:5">
      <c r="A253" s="26"/>
      <c r="B253" s="27"/>
      <c r="C253" s="26"/>
      <c r="D253" s="26"/>
      <c r="E253" s="27"/>
    </row>
    <row r="254" spans="1:5">
      <c r="A254" s="26"/>
      <c r="B254" s="27"/>
      <c r="C254" s="26"/>
      <c r="D254" s="26"/>
      <c r="E254" s="27"/>
    </row>
    <row r="255" spans="1:5">
      <c r="A255" s="26"/>
      <c r="B255" s="27"/>
      <c r="C255" s="26"/>
      <c r="D255" s="26"/>
      <c r="E255" s="27"/>
    </row>
    <row r="256" spans="1:5">
      <c r="A256" s="26"/>
      <c r="B256" s="27"/>
      <c r="C256" s="26"/>
      <c r="D256" s="26"/>
      <c r="E256" s="27"/>
    </row>
    <row r="257" spans="1:5">
      <c r="A257" s="26"/>
      <c r="B257" s="27"/>
      <c r="C257" s="26"/>
      <c r="D257" s="26"/>
      <c r="E257" s="27"/>
    </row>
    <row r="258" spans="1:5">
      <c r="A258" s="26"/>
      <c r="B258" s="27"/>
      <c r="C258" s="26"/>
      <c r="D258" s="26"/>
      <c r="E258" s="27"/>
    </row>
    <row r="259" spans="1:5">
      <c r="A259" s="26"/>
      <c r="B259" s="27"/>
      <c r="C259" s="26"/>
      <c r="D259" s="26"/>
      <c r="E259" s="27"/>
    </row>
    <row r="260" spans="1:5">
      <c r="A260" s="26"/>
      <c r="B260" s="27"/>
      <c r="C260" s="26"/>
      <c r="D260" s="26"/>
      <c r="E260" s="27"/>
    </row>
    <row r="261" spans="1:5">
      <c r="A261" s="26"/>
      <c r="B261" s="27"/>
      <c r="C261" s="26"/>
      <c r="D261" s="26"/>
      <c r="E261" s="27"/>
    </row>
    <row r="262" spans="1:5">
      <c r="A262" s="26"/>
      <c r="B262" s="27"/>
      <c r="C262" s="26"/>
      <c r="D262" s="26"/>
      <c r="E262" s="27"/>
    </row>
    <row r="263" ht="24" customHeight="1" spans="1:5">
      <c r="A263" s="26"/>
      <c r="B263" s="27"/>
      <c r="C263" s="26"/>
      <c r="D263" s="26"/>
      <c r="E263" s="27"/>
    </row>
    <row r="264" ht="24" customHeight="1" spans="1:5">
      <c r="A264" s="26"/>
      <c r="B264" s="27"/>
      <c r="C264" s="26"/>
      <c r="D264" s="26"/>
      <c r="E264" s="27"/>
    </row>
    <row r="265" spans="1:5">
      <c r="A265" s="26"/>
      <c r="B265" s="27"/>
      <c r="C265" s="26"/>
      <c r="D265" s="26"/>
      <c r="E265" s="27"/>
    </row>
    <row r="266" spans="1:5">
      <c r="A266" s="26"/>
      <c r="B266" s="27"/>
      <c r="C266" s="26"/>
      <c r="D266" s="26"/>
      <c r="E266" s="27"/>
    </row>
    <row r="267" spans="1:5">
      <c r="A267" s="26"/>
      <c r="B267" s="27"/>
      <c r="C267" s="26"/>
      <c r="D267" s="26"/>
      <c r="E267" s="27"/>
    </row>
    <row r="268" spans="1:5">
      <c r="A268" s="26"/>
      <c r="B268" s="27"/>
      <c r="C268" s="26"/>
      <c r="D268" s="26"/>
      <c r="E268" s="27"/>
    </row>
    <row r="269" spans="1:5">
      <c r="A269" s="26"/>
      <c r="B269" s="27"/>
      <c r="C269" s="26"/>
      <c r="D269" s="26"/>
      <c r="E269" s="27"/>
    </row>
    <row r="270" customHeight="1" spans="1:5">
      <c r="A270" s="26"/>
      <c r="B270" s="27"/>
      <c r="C270" s="26"/>
      <c r="D270" s="26"/>
      <c r="E270" s="27"/>
    </row>
    <row r="271" spans="1:5">
      <c r="A271" s="26"/>
      <c r="B271" s="27"/>
      <c r="C271" s="26"/>
      <c r="D271" s="26"/>
      <c r="E271" s="27"/>
    </row>
    <row r="272" spans="1:5">
      <c r="A272" s="26"/>
      <c r="B272" s="27"/>
      <c r="C272" s="26"/>
      <c r="D272" s="26"/>
      <c r="E272" s="27"/>
    </row>
    <row r="273" customHeight="1" spans="1:5">
      <c r="A273" s="26"/>
      <c r="B273" s="27"/>
      <c r="C273" s="26"/>
      <c r="D273" s="26"/>
      <c r="E273" s="27"/>
    </row>
    <row r="274" spans="1:5">
      <c r="A274" s="26"/>
      <c r="B274" s="27"/>
      <c r="C274" s="26"/>
      <c r="D274" s="26"/>
      <c r="E274" s="27"/>
    </row>
    <row r="275" spans="1:5">
      <c r="A275" s="26"/>
      <c r="B275" s="27"/>
      <c r="C275" s="26"/>
      <c r="D275" s="26"/>
      <c r="E275" s="27"/>
    </row>
    <row r="276" customHeight="1" spans="1:5">
      <c r="A276" s="26"/>
      <c r="B276" s="27"/>
      <c r="C276" s="26"/>
      <c r="D276" s="26"/>
      <c r="E276" s="27"/>
    </row>
    <row r="277" spans="1:5">
      <c r="A277" s="26"/>
      <c r="B277" s="27"/>
      <c r="C277" s="26"/>
      <c r="D277" s="26"/>
      <c r="E277" s="27"/>
    </row>
    <row r="278" spans="1:5">
      <c r="A278" s="26"/>
      <c r="B278" s="27"/>
      <c r="C278" s="26"/>
      <c r="D278" s="26"/>
      <c r="E278" s="27"/>
    </row>
    <row r="279" spans="1:5">
      <c r="A279" s="26"/>
      <c r="B279" s="27"/>
      <c r="C279" s="26"/>
      <c r="D279" s="26"/>
      <c r="E279" s="27"/>
    </row>
    <row r="280" spans="1:5">
      <c r="A280" s="26"/>
      <c r="B280" s="27"/>
      <c r="C280" s="26"/>
      <c r="D280" s="26"/>
      <c r="E280" s="27"/>
    </row>
    <row r="281" spans="1:5">
      <c r="A281" s="26"/>
      <c r="B281" s="27"/>
      <c r="C281" s="26"/>
      <c r="D281" s="26"/>
      <c r="E281" s="27"/>
    </row>
    <row r="282" spans="1:5">
      <c r="A282" s="26"/>
      <c r="B282" s="27"/>
      <c r="C282" s="26"/>
      <c r="D282" s="26"/>
      <c r="E282" s="27"/>
    </row>
    <row r="283" spans="1:5">
      <c r="A283" s="26"/>
      <c r="B283" s="27"/>
      <c r="C283" s="26"/>
      <c r="D283" s="26"/>
      <c r="E283" s="27"/>
    </row>
    <row r="284" spans="1:5">
      <c r="A284" s="26"/>
      <c r="B284" s="27"/>
      <c r="C284" s="26"/>
      <c r="D284" s="26"/>
      <c r="E284" s="27"/>
    </row>
    <row r="285" spans="1:5">
      <c r="A285" s="26"/>
      <c r="B285" s="27"/>
      <c r="C285" s="26"/>
      <c r="D285" s="26"/>
      <c r="E285" s="27"/>
    </row>
    <row r="286" spans="1:5">
      <c r="A286" s="28"/>
      <c r="B286" s="29"/>
      <c r="C286" s="28"/>
      <c r="D286" s="28"/>
      <c r="E286" s="29"/>
    </row>
    <row r="287" spans="1:5">
      <c r="A287" s="28"/>
      <c r="B287" s="29"/>
      <c r="C287" s="28"/>
      <c r="D287" s="28"/>
      <c r="E287" s="29"/>
    </row>
    <row r="288" spans="1:5">
      <c r="A288" s="28"/>
      <c r="B288" s="29"/>
      <c r="C288" s="28"/>
      <c r="D288" s="28"/>
      <c r="E288" s="29"/>
    </row>
    <row r="289" spans="1:5">
      <c r="A289" s="28"/>
      <c r="B289" s="29"/>
      <c r="C289" s="28"/>
      <c r="D289" s="28"/>
      <c r="E289" s="29"/>
    </row>
    <row r="290" spans="1:5">
      <c r="A290" s="26"/>
      <c r="B290" s="27"/>
      <c r="C290" s="26"/>
      <c r="D290" s="26"/>
      <c r="E290" s="27"/>
    </row>
    <row r="291" spans="1:5">
      <c r="A291" s="26"/>
      <c r="B291" s="27"/>
      <c r="C291" s="26"/>
      <c r="D291" s="26"/>
      <c r="E291" s="27"/>
    </row>
    <row r="292" spans="1:5">
      <c r="A292" s="26"/>
      <c r="B292" s="27"/>
      <c r="C292" s="26"/>
      <c r="D292" s="26"/>
      <c r="E292" s="27"/>
    </row>
    <row r="293" spans="1:5">
      <c r="A293" s="26"/>
      <c r="B293" s="27"/>
      <c r="C293" s="26"/>
      <c r="D293" s="26"/>
      <c r="E293" s="27"/>
    </row>
    <row r="294" spans="1:5">
      <c r="A294" s="26"/>
      <c r="B294" s="27"/>
      <c r="C294" s="26"/>
      <c r="D294" s="26"/>
      <c r="E294" s="27"/>
    </row>
    <row r="295" ht="24" customHeight="1" spans="1:5">
      <c r="A295" s="26"/>
      <c r="B295" s="27"/>
      <c r="C295" s="26"/>
      <c r="D295" s="26"/>
      <c r="E295" s="27"/>
    </row>
    <row r="296" spans="1:5">
      <c r="A296" s="26"/>
      <c r="B296" s="27"/>
      <c r="C296" s="26"/>
      <c r="D296" s="26"/>
      <c r="E296" s="27"/>
    </row>
    <row r="297" spans="1:5">
      <c r="A297" s="26"/>
      <c r="B297" s="27"/>
      <c r="C297" s="26"/>
      <c r="D297" s="26"/>
      <c r="E297" s="27"/>
    </row>
    <row r="298" spans="1:5">
      <c r="A298" s="26"/>
      <c r="B298" s="27"/>
      <c r="C298" s="26"/>
      <c r="D298" s="26"/>
      <c r="E298" s="27"/>
    </row>
    <row r="299" spans="1:5">
      <c r="A299" s="26"/>
      <c r="B299" s="27"/>
      <c r="C299" s="26"/>
      <c r="D299" s="26"/>
      <c r="E299" s="27"/>
    </row>
    <row r="300" spans="1:5">
      <c r="A300" s="26"/>
      <c r="B300" s="27"/>
      <c r="C300" s="26"/>
      <c r="D300" s="26"/>
      <c r="E300" s="27"/>
    </row>
    <row r="301" spans="1:5">
      <c r="A301" s="26"/>
      <c r="B301" s="27"/>
      <c r="C301" s="26"/>
      <c r="D301" s="26"/>
      <c r="E301" s="27"/>
    </row>
    <row r="302" spans="1:5">
      <c r="A302" s="26"/>
      <c r="B302" s="27"/>
      <c r="C302" s="26"/>
      <c r="D302" s="26"/>
      <c r="E302" s="27"/>
    </row>
    <row r="303" spans="1:5">
      <c r="A303" s="26"/>
      <c r="B303" s="27"/>
      <c r="C303" s="26"/>
      <c r="D303" s="26"/>
      <c r="E303" s="27"/>
    </row>
    <row r="304" spans="1:5">
      <c r="A304" s="26"/>
      <c r="B304" s="27"/>
      <c r="C304" s="26"/>
      <c r="D304" s="26"/>
      <c r="E304" s="27"/>
    </row>
    <row r="305" spans="1:5">
      <c r="A305" s="26"/>
      <c r="B305" s="27"/>
      <c r="C305" s="26"/>
      <c r="D305" s="26"/>
      <c r="E305" s="27"/>
    </row>
    <row r="306" spans="1:5">
      <c r="A306" s="26"/>
      <c r="B306" s="27"/>
      <c r="C306" s="26"/>
      <c r="D306" s="26"/>
      <c r="E306" s="27"/>
    </row>
    <row r="307" spans="1:5">
      <c r="A307" s="26"/>
      <c r="B307" s="27"/>
      <c r="C307" s="26"/>
      <c r="D307" s="26"/>
      <c r="E307" s="27"/>
    </row>
    <row r="308" spans="1:5">
      <c r="A308" s="26"/>
      <c r="B308" s="27"/>
      <c r="C308" s="26"/>
      <c r="D308" s="26"/>
      <c r="E308" s="27"/>
    </row>
    <row r="309" spans="1:5">
      <c r="A309" s="26"/>
      <c r="B309" s="27"/>
      <c r="C309" s="26"/>
      <c r="D309" s="26"/>
      <c r="E309" s="27"/>
    </row>
    <row r="310" spans="1:5">
      <c r="A310" s="26"/>
      <c r="B310" s="27"/>
      <c r="C310" s="26"/>
      <c r="D310" s="26"/>
      <c r="E310" s="27"/>
    </row>
    <row r="311" spans="1:5">
      <c r="A311" s="26"/>
      <c r="B311" s="27"/>
      <c r="C311" s="26"/>
      <c r="D311" s="26"/>
      <c r="E311" s="27"/>
    </row>
    <row r="312" spans="1:5">
      <c r="A312" s="26"/>
      <c r="B312" s="27"/>
      <c r="C312" s="26"/>
      <c r="D312" s="26"/>
      <c r="E312" s="27"/>
    </row>
    <row r="313" spans="1:5">
      <c r="A313" s="26"/>
      <c r="B313" s="27"/>
      <c r="C313" s="26"/>
      <c r="D313" s="26"/>
      <c r="E313" s="27"/>
    </row>
    <row r="314" spans="1:5">
      <c r="A314" s="26"/>
      <c r="B314" s="27"/>
      <c r="C314" s="26"/>
      <c r="D314" s="26"/>
      <c r="E314" s="27"/>
    </row>
    <row r="315" spans="1:5">
      <c r="A315" s="26"/>
      <c r="B315" s="27"/>
      <c r="C315" s="26"/>
      <c r="D315" s="26"/>
      <c r="E315" s="27"/>
    </row>
    <row r="316" spans="1:5">
      <c r="A316" s="26"/>
      <c r="B316" s="27"/>
      <c r="C316" s="26"/>
      <c r="D316" s="26"/>
      <c r="E316" s="27"/>
    </row>
    <row r="317" spans="1:5">
      <c r="A317" s="26"/>
      <c r="B317" s="27"/>
      <c r="C317" s="26"/>
      <c r="D317" s="26"/>
      <c r="E317" s="27"/>
    </row>
    <row r="318" spans="1:5">
      <c r="A318" s="26"/>
      <c r="B318" s="27"/>
      <c r="C318" s="26"/>
      <c r="D318" s="26"/>
      <c r="E318" s="27"/>
    </row>
    <row r="319" spans="1:5">
      <c r="A319" s="26"/>
      <c r="B319" s="27"/>
      <c r="C319" s="26"/>
      <c r="D319" s="26"/>
      <c r="E319" s="27"/>
    </row>
    <row r="320" spans="1:5">
      <c r="A320" s="26"/>
      <c r="B320" s="27"/>
      <c r="C320" s="26"/>
      <c r="D320" s="26"/>
      <c r="E320" s="27"/>
    </row>
    <row r="321" spans="1:5">
      <c r="A321" s="26"/>
      <c r="B321" s="27"/>
      <c r="C321" s="26"/>
      <c r="D321" s="26"/>
      <c r="E321" s="27"/>
    </row>
    <row r="322" spans="1:5">
      <c r="A322" s="26"/>
      <c r="B322" s="27"/>
      <c r="C322" s="26"/>
      <c r="D322" s="26"/>
      <c r="E322" s="27"/>
    </row>
    <row r="323" spans="1:5">
      <c r="A323" s="26"/>
      <c r="B323" s="27"/>
      <c r="C323" s="26"/>
      <c r="D323" s="26"/>
      <c r="E323" s="27"/>
    </row>
    <row r="324" spans="1:5">
      <c r="A324" s="26"/>
      <c r="B324" s="27"/>
      <c r="C324" s="26"/>
      <c r="D324" s="26"/>
      <c r="E324" s="27"/>
    </row>
    <row r="325" spans="1:5">
      <c r="A325" s="26"/>
      <c r="B325" s="27"/>
      <c r="C325" s="26"/>
      <c r="D325" s="26"/>
      <c r="E325" s="27"/>
    </row>
    <row r="326" spans="1:5">
      <c r="A326" s="26"/>
      <c r="B326" s="27"/>
      <c r="C326" s="26"/>
      <c r="D326" s="26"/>
      <c r="E326" s="27"/>
    </row>
    <row r="327" spans="1:5">
      <c r="A327" s="26"/>
      <c r="B327" s="27"/>
      <c r="C327" s="26"/>
      <c r="D327" s="26"/>
      <c r="E327" s="27"/>
    </row>
    <row r="328" spans="1:5">
      <c r="A328" s="26"/>
      <c r="B328" s="27"/>
      <c r="C328" s="26"/>
      <c r="D328" s="26"/>
      <c r="E328" s="27"/>
    </row>
    <row r="329" spans="1:5">
      <c r="A329" s="26"/>
      <c r="B329" s="27"/>
      <c r="C329" s="26"/>
      <c r="D329" s="26"/>
      <c r="E329" s="27"/>
    </row>
    <row r="330" spans="1:5">
      <c r="A330" s="26"/>
      <c r="B330" s="27"/>
      <c r="C330" s="26"/>
      <c r="D330" s="26"/>
      <c r="E330" s="27"/>
    </row>
    <row r="331" spans="1:5">
      <c r="A331" s="26"/>
      <c r="B331" s="27"/>
      <c r="C331" s="26"/>
      <c r="D331" s="26"/>
      <c r="E331" s="27"/>
    </row>
    <row r="332" spans="1:5">
      <c r="A332" s="26"/>
      <c r="B332" s="27"/>
      <c r="C332" s="26"/>
      <c r="D332" s="26"/>
      <c r="E332" s="27"/>
    </row>
    <row r="333" spans="1:5">
      <c r="A333" s="26"/>
      <c r="B333" s="27"/>
      <c r="C333" s="26"/>
      <c r="D333" s="26"/>
      <c r="E333" s="27"/>
    </row>
    <row r="334" ht="24" customHeight="1" spans="1:5">
      <c r="A334" s="26"/>
      <c r="B334" s="27"/>
      <c r="C334" s="26"/>
      <c r="D334" s="26"/>
      <c r="E334" s="27"/>
    </row>
    <row r="335" spans="1:5">
      <c r="A335" s="26"/>
      <c r="B335" s="27"/>
      <c r="C335" s="26"/>
      <c r="D335" s="26"/>
      <c r="E335" s="27"/>
    </row>
    <row r="336" spans="1:5">
      <c r="A336" s="26"/>
      <c r="B336" s="27"/>
      <c r="C336" s="26"/>
      <c r="D336" s="26"/>
      <c r="E336" s="27"/>
    </row>
    <row r="337" spans="1:5">
      <c r="A337" s="26"/>
      <c r="B337" s="27"/>
      <c r="C337" s="26"/>
      <c r="D337" s="26"/>
      <c r="E337" s="27"/>
    </row>
    <row r="338" spans="1:5">
      <c r="A338" s="26"/>
      <c r="B338" s="27"/>
      <c r="C338" s="26"/>
      <c r="D338" s="26"/>
      <c r="E338" s="27"/>
    </row>
    <row r="339" spans="1:5">
      <c r="A339" s="26"/>
      <c r="B339" s="27"/>
      <c r="C339" s="26"/>
      <c r="D339" s="26"/>
      <c r="E339" s="27"/>
    </row>
    <row r="340" spans="1:5">
      <c r="A340" s="26"/>
      <c r="B340" s="27"/>
      <c r="C340" s="26"/>
      <c r="D340" s="26"/>
      <c r="E340" s="27"/>
    </row>
    <row r="341" spans="1:5">
      <c r="A341" s="26"/>
      <c r="B341" s="27"/>
      <c r="C341" s="26"/>
      <c r="D341" s="26"/>
      <c r="E341" s="27"/>
    </row>
    <row r="342" spans="1:5">
      <c r="A342" s="26"/>
      <c r="B342" s="27"/>
      <c r="C342" s="26"/>
      <c r="D342" s="26"/>
      <c r="E342" s="27"/>
    </row>
    <row r="343" spans="1:5">
      <c r="A343" s="26"/>
      <c r="B343" s="27"/>
      <c r="C343" s="26"/>
      <c r="D343" s="26"/>
      <c r="E343" s="27"/>
    </row>
    <row r="344" spans="1:5">
      <c r="A344" s="26"/>
      <c r="B344" s="27"/>
      <c r="C344" s="26"/>
      <c r="D344" s="26"/>
      <c r="E344" s="27"/>
    </row>
    <row r="345" spans="1:5">
      <c r="A345" s="26"/>
      <c r="B345" s="27"/>
      <c r="C345" s="26"/>
      <c r="D345" s="26"/>
      <c r="E345" s="27"/>
    </row>
    <row r="346" spans="1:5">
      <c r="A346" s="26"/>
      <c r="B346" s="27"/>
      <c r="C346" s="26"/>
      <c r="D346" s="26"/>
      <c r="E346" s="27"/>
    </row>
    <row r="347" spans="1:5">
      <c r="A347" s="26"/>
      <c r="B347" s="27"/>
      <c r="C347" s="26"/>
      <c r="D347" s="26"/>
      <c r="E347" s="27"/>
    </row>
    <row r="348" spans="1:5">
      <c r="A348" s="26"/>
      <c r="B348" s="27"/>
      <c r="C348" s="26"/>
      <c r="D348" s="26"/>
      <c r="E348" s="27"/>
    </row>
    <row r="349" spans="1:5">
      <c r="A349" s="26"/>
      <c r="B349" s="27"/>
      <c r="C349" s="26"/>
      <c r="D349" s="26"/>
      <c r="E349" s="27"/>
    </row>
    <row r="350" spans="1:5">
      <c r="A350" s="28"/>
      <c r="B350" s="29"/>
      <c r="C350" s="28"/>
      <c r="D350" s="28"/>
      <c r="E350" s="29"/>
    </row>
    <row r="351" spans="1:5">
      <c r="A351" s="28"/>
      <c r="B351" s="29"/>
      <c r="C351" s="28"/>
      <c r="D351" s="28"/>
      <c r="E351" s="29"/>
    </row>
    <row r="352" spans="1:5">
      <c r="A352" s="26"/>
      <c r="B352" s="27"/>
      <c r="C352" s="26"/>
      <c r="D352" s="26"/>
      <c r="E352" s="27"/>
    </row>
    <row r="353" spans="1:5">
      <c r="A353" s="26"/>
      <c r="B353" s="27"/>
      <c r="C353" s="26"/>
      <c r="D353" s="26"/>
      <c r="E353" s="27"/>
    </row>
    <row r="354" spans="1:5">
      <c r="A354" s="26"/>
      <c r="B354" s="27"/>
      <c r="C354" s="26"/>
      <c r="D354" s="26"/>
      <c r="E354" s="27"/>
    </row>
    <row r="355" spans="1:5">
      <c r="A355" s="26"/>
      <c r="B355" s="27"/>
      <c r="C355" s="26"/>
      <c r="D355" s="26"/>
      <c r="E355" s="27"/>
    </row>
    <row r="356" spans="1:5">
      <c r="A356" s="26"/>
      <c r="B356" s="27"/>
      <c r="C356" s="26"/>
      <c r="D356" s="26"/>
      <c r="E356" s="27"/>
    </row>
    <row r="357" spans="1:5">
      <c r="A357" s="28"/>
      <c r="B357" s="29"/>
      <c r="C357" s="28"/>
      <c r="D357" s="28"/>
      <c r="E357" s="29"/>
    </row>
    <row r="358" spans="1:5">
      <c r="A358" s="26"/>
      <c r="B358" s="27"/>
      <c r="C358" s="26"/>
      <c r="D358" s="26"/>
      <c r="E358" s="27"/>
    </row>
    <row r="359" spans="1:5">
      <c r="A359" s="26"/>
      <c r="B359" s="27"/>
      <c r="C359" s="26"/>
      <c r="D359" s="26"/>
      <c r="E359" s="27"/>
    </row>
    <row r="360" customHeight="1" spans="1:5">
      <c r="A360" s="26"/>
      <c r="B360" s="27"/>
      <c r="C360" s="26"/>
      <c r="D360" s="26"/>
      <c r="E360" s="27"/>
    </row>
    <row r="361" customHeight="1" spans="1:5">
      <c r="A361" s="26"/>
      <c r="B361" s="27"/>
      <c r="C361" s="26"/>
      <c r="D361" s="26"/>
      <c r="E361" s="27"/>
    </row>
    <row r="362" customHeight="1" spans="1:5">
      <c r="A362" s="26"/>
      <c r="B362" s="27"/>
      <c r="C362" s="26"/>
      <c r="D362" s="26"/>
      <c r="E362" s="27"/>
    </row>
    <row r="363" spans="1:5">
      <c r="A363" s="26"/>
      <c r="B363" s="27"/>
      <c r="C363" s="26"/>
      <c r="D363" s="26"/>
      <c r="E363" s="27"/>
    </row>
    <row r="364" customHeight="1" spans="1:5">
      <c r="A364" s="26"/>
      <c r="B364" s="27"/>
      <c r="C364" s="26"/>
      <c r="D364" s="26"/>
      <c r="E364" s="27"/>
    </row>
    <row r="365" ht="24" customHeight="1" spans="1:5">
      <c r="A365" s="26"/>
      <c r="B365" s="27"/>
      <c r="C365" s="26"/>
      <c r="D365" s="26"/>
      <c r="E365" s="27"/>
    </row>
    <row r="366" customHeight="1" spans="1:5">
      <c r="A366" s="26"/>
      <c r="B366" s="27"/>
      <c r="C366" s="26"/>
      <c r="D366" s="26"/>
      <c r="E366" s="27"/>
    </row>
    <row r="367" spans="1:5">
      <c r="A367" s="26"/>
      <c r="B367" s="27"/>
      <c r="C367" s="26"/>
      <c r="D367" s="26"/>
      <c r="E367" s="27"/>
    </row>
    <row r="368" spans="1:5">
      <c r="A368" s="26"/>
      <c r="B368" s="27"/>
      <c r="C368" s="26"/>
      <c r="D368" s="26"/>
      <c r="E368" s="27"/>
    </row>
    <row r="369" spans="1:5">
      <c r="A369" s="26"/>
      <c r="B369" s="27"/>
      <c r="C369" s="26"/>
      <c r="D369" s="26"/>
      <c r="E369" s="27"/>
    </row>
    <row r="370" customHeight="1" spans="1:5">
      <c r="A370" s="26"/>
      <c r="B370" s="27"/>
      <c r="C370" s="26"/>
      <c r="D370" s="26"/>
      <c r="E370" s="27"/>
    </row>
    <row r="371" customHeight="1" spans="1:5">
      <c r="A371" s="26"/>
      <c r="B371" s="27"/>
      <c r="C371" s="26"/>
      <c r="D371" s="26"/>
      <c r="E371" s="27"/>
    </row>
    <row r="372" spans="1:5">
      <c r="A372" s="26"/>
      <c r="B372" s="27"/>
      <c r="C372" s="26"/>
      <c r="D372" s="26"/>
      <c r="E372" s="27"/>
    </row>
    <row r="373" spans="1:5">
      <c r="A373" s="26"/>
      <c r="B373" s="27"/>
      <c r="C373" s="26"/>
      <c r="D373" s="26"/>
      <c r="E373" s="27"/>
    </row>
    <row r="374" spans="1:5">
      <c r="A374" s="26"/>
      <c r="B374" s="27"/>
      <c r="C374" s="26"/>
      <c r="D374" s="26"/>
      <c r="E374" s="27"/>
    </row>
    <row r="375" spans="1:5">
      <c r="A375" s="26"/>
      <c r="B375" s="27"/>
      <c r="C375" s="26"/>
      <c r="D375" s="26"/>
      <c r="E375" s="27"/>
    </row>
    <row r="376" spans="1:5">
      <c r="A376" s="26"/>
      <c r="B376" s="27"/>
      <c r="C376" s="26"/>
      <c r="D376" s="26"/>
      <c r="E376" s="27"/>
    </row>
    <row r="377" spans="1:5">
      <c r="A377" s="26"/>
      <c r="B377" s="27"/>
      <c r="C377" s="26"/>
      <c r="D377" s="26"/>
      <c r="E377" s="27"/>
    </row>
    <row r="378" spans="1:5">
      <c r="A378" s="26"/>
      <c r="B378" s="27"/>
      <c r="C378" s="26"/>
      <c r="D378" s="26"/>
      <c r="E378" s="27"/>
    </row>
    <row r="379" customHeight="1" spans="1:5">
      <c r="A379" s="26"/>
      <c r="B379" s="27"/>
      <c r="C379" s="26"/>
      <c r="D379" s="26"/>
      <c r="E379" s="27"/>
    </row>
    <row r="380" spans="1:5">
      <c r="A380" s="26"/>
      <c r="B380" s="27"/>
      <c r="C380" s="26"/>
      <c r="D380" s="26"/>
      <c r="E380" s="27"/>
    </row>
    <row r="381" spans="1:5">
      <c r="A381" s="26"/>
      <c r="B381" s="27"/>
      <c r="C381" s="26"/>
      <c r="D381" s="26"/>
      <c r="E381" s="27"/>
    </row>
    <row r="382" spans="1:5">
      <c r="A382" s="26"/>
      <c r="B382" s="27"/>
      <c r="C382" s="26"/>
      <c r="D382" s="26"/>
      <c r="E382" s="27"/>
    </row>
    <row r="383" customHeight="1" spans="1:5">
      <c r="A383" s="26"/>
      <c r="B383" s="27"/>
      <c r="C383" s="26"/>
      <c r="D383" s="26"/>
      <c r="E383" s="27"/>
    </row>
    <row r="384" customHeight="1" spans="1:5">
      <c r="A384" s="26"/>
      <c r="B384" s="27"/>
      <c r="C384" s="26"/>
      <c r="D384" s="26"/>
      <c r="E384" s="27"/>
    </row>
    <row r="385" spans="1:5">
      <c r="A385" s="26"/>
      <c r="B385" s="27"/>
      <c r="C385" s="26"/>
      <c r="D385" s="26"/>
      <c r="E385" s="27"/>
    </row>
    <row r="386" spans="1:5">
      <c r="A386" s="26"/>
      <c r="B386" s="27"/>
      <c r="C386" s="26"/>
      <c r="D386" s="26"/>
      <c r="E386" s="27"/>
    </row>
    <row r="387" spans="1:5">
      <c r="A387" s="26"/>
      <c r="B387" s="27"/>
      <c r="C387" s="26"/>
      <c r="D387" s="26"/>
      <c r="E387" s="27"/>
    </row>
    <row r="388" customHeight="1" spans="1:5">
      <c r="A388" s="26"/>
      <c r="B388" s="27"/>
      <c r="C388" s="26"/>
      <c r="D388" s="26"/>
      <c r="E388" s="27"/>
    </row>
    <row r="389" spans="1:5">
      <c r="A389" s="26"/>
      <c r="B389" s="27"/>
      <c r="C389" s="26"/>
      <c r="D389" s="26"/>
      <c r="E389" s="27"/>
    </row>
    <row r="390" spans="1:5">
      <c r="A390" s="26"/>
      <c r="B390" s="27"/>
      <c r="C390" s="26"/>
      <c r="D390" s="26"/>
      <c r="E390" s="27"/>
    </row>
    <row r="391" spans="1:5">
      <c r="A391" s="26"/>
      <c r="B391" s="27"/>
      <c r="C391" s="26"/>
      <c r="D391" s="26"/>
      <c r="E391" s="27"/>
    </row>
    <row r="392" ht="36" customHeight="1" spans="1:5">
      <c r="A392" s="26"/>
      <c r="B392" s="27"/>
      <c r="C392" s="26"/>
      <c r="D392" s="26"/>
      <c r="E392" s="27"/>
    </row>
    <row r="393" spans="1:5">
      <c r="A393" s="26"/>
      <c r="B393" s="27"/>
      <c r="C393" s="26"/>
      <c r="D393" s="26"/>
      <c r="E393" s="27"/>
    </row>
    <row r="394" customHeight="1" spans="1:5">
      <c r="A394" s="26"/>
      <c r="B394" s="27"/>
      <c r="C394" s="26"/>
      <c r="D394" s="26"/>
      <c r="E394" s="27"/>
    </row>
    <row r="395" customHeight="1" spans="1:5">
      <c r="A395" s="26"/>
      <c r="B395" s="27"/>
      <c r="C395" s="26"/>
      <c r="D395" s="26"/>
      <c r="E395" s="27"/>
    </row>
    <row r="396" spans="1:5">
      <c r="A396" s="26"/>
      <c r="B396" s="27"/>
      <c r="C396" s="26"/>
      <c r="D396" s="26"/>
      <c r="E396" s="27"/>
    </row>
    <row r="397" customHeight="1" spans="1:5">
      <c r="A397" s="26"/>
      <c r="B397" s="27"/>
      <c r="C397" s="26"/>
      <c r="D397" s="26"/>
      <c r="E397" s="27"/>
    </row>
    <row r="398" spans="1:5">
      <c r="A398" s="26"/>
      <c r="B398" s="27"/>
      <c r="C398" s="26"/>
      <c r="D398" s="26"/>
      <c r="E398" s="27"/>
    </row>
    <row r="399" customHeight="1" spans="1:5">
      <c r="A399" s="26"/>
      <c r="B399" s="27"/>
      <c r="C399" s="26"/>
      <c r="D399" s="26"/>
      <c r="E399" s="27"/>
    </row>
    <row r="400" spans="1:5">
      <c r="A400" s="26"/>
      <c r="B400" s="27"/>
      <c r="C400" s="26"/>
      <c r="D400" s="26"/>
      <c r="E400" s="27"/>
    </row>
    <row r="401" customHeight="1" spans="1:5">
      <c r="A401" s="26"/>
      <c r="B401" s="27"/>
      <c r="C401" s="26"/>
      <c r="D401" s="26"/>
      <c r="E401" s="27"/>
    </row>
    <row r="402" customHeight="1" spans="1:5">
      <c r="A402" s="26"/>
      <c r="B402" s="27"/>
      <c r="C402" s="26"/>
      <c r="D402" s="26"/>
      <c r="E402" s="27"/>
    </row>
    <row r="403" spans="1:5">
      <c r="A403" s="26"/>
      <c r="B403" s="27"/>
      <c r="C403" s="26"/>
      <c r="D403" s="26"/>
      <c r="E403" s="27"/>
    </row>
    <row r="404" customHeight="1" spans="1:5">
      <c r="A404" s="26"/>
      <c r="B404" s="27"/>
      <c r="C404" s="26"/>
      <c r="D404" s="26"/>
      <c r="E404" s="27"/>
    </row>
    <row r="405" spans="1:5">
      <c r="A405" s="26"/>
      <c r="B405" s="27"/>
      <c r="C405" s="26"/>
      <c r="D405" s="26"/>
      <c r="E405" s="27"/>
    </row>
    <row r="406" spans="1:5">
      <c r="A406" s="26"/>
      <c r="B406" s="27"/>
      <c r="C406" s="26"/>
      <c r="D406" s="26"/>
      <c r="E406" s="27"/>
    </row>
    <row r="407" customHeight="1" spans="1:5">
      <c r="A407" s="26"/>
      <c r="B407" s="27"/>
      <c r="C407" s="26"/>
      <c r="D407" s="26"/>
      <c r="E407" s="27"/>
    </row>
    <row r="408" spans="1:5">
      <c r="A408" s="26"/>
      <c r="B408" s="27"/>
      <c r="C408" s="26"/>
      <c r="D408" s="26"/>
      <c r="E408" s="27"/>
    </row>
    <row r="409" spans="1:5">
      <c r="A409" s="26"/>
      <c r="B409" s="27"/>
      <c r="C409" s="26"/>
      <c r="D409" s="26"/>
      <c r="E409" s="27"/>
    </row>
    <row r="410" spans="1:5">
      <c r="A410" s="26"/>
      <c r="B410" s="27"/>
      <c r="C410" s="26"/>
      <c r="D410" s="26"/>
      <c r="E410" s="27"/>
    </row>
    <row r="411" customHeight="1" spans="1:5">
      <c r="A411" s="26"/>
      <c r="B411" s="27"/>
      <c r="C411" s="26"/>
      <c r="D411" s="26"/>
      <c r="E411" s="27"/>
    </row>
    <row r="412" spans="1:5">
      <c r="A412" s="28"/>
      <c r="B412" s="29"/>
      <c r="C412" s="28"/>
      <c r="D412" s="28"/>
      <c r="E412" s="29"/>
    </row>
    <row r="413" spans="1:5">
      <c r="A413" s="26"/>
      <c r="B413" s="27"/>
      <c r="C413" s="26"/>
      <c r="D413" s="26"/>
      <c r="E413" s="27"/>
    </row>
    <row r="414" customHeight="1" spans="1:5">
      <c r="A414" s="26"/>
      <c r="B414" s="27"/>
      <c r="C414" s="26"/>
      <c r="D414" s="26"/>
      <c r="E414" s="27"/>
    </row>
    <row r="415" spans="1:5">
      <c r="A415" s="26"/>
      <c r="B415" s="27"/>
      <c r="C415" s="26"/>
      <c r="D415" s="26"/>
      <c r="E415" s="27"/>
    </row>
    <row r="416" spans="1:5">
      <c r="A416" s="26"/>
      <c r="B416" s="27"/>
      <c r="C416" s="26"/>
      <c r="D416" s="26"/>
      <c r="E416" s="27"/>
    </row>
    <row r="417" spans="1:5">
      <c r="A417" s="26"/>
      <c r="B417" s="27"/>
      <c r="C417" s="26"/>
      <c r="D417" s="26"/>
      <c r="E417" s="27"/>
    </row>
    <row r="418" spans="1:5">
      <c r="A418" s="28"/>
      <c r="B418" s="29"/>
      <c r="C418" s="28"/>
      <c r="D418" s="28"/>
      <c r="E418" s="29"/>
    </row>
    <row r="419" spans="1:5">
      <c r="A419" s="26"/>
      <c r="B419" s="27"/>
      <c r="C419" s="26"/>
      <c r="D419" s="26"/>
      <c r="E419" s="27"/>
    </row>
    <row r="420" spans="1:5">
      <c r="A420" s="26"/>
      <c r="B420" s="27"/>
      <c r="C420" s="26"/>
      <c r="D420" s="26"/>
      <c r="E420" s="27"/>
    </row>
    <row r="421" spans="1:5">
      <c r="A421" s="26"/>
      <c r="B421" s="27"/>
      <c r="C421" s="26"/>
      <c r="D421" s="26"/>
      <c r="E421" s="27"/>
    </row>
    <row r="422" spans="1:5">
      <c r="A422" s="26"/>
      <c r="B422" s="27"/>
      <c r="C422" s="26"/>
      <c r="D422" s="26"/>
      <c r="E422" s="27"/>
    </row>
    <row r="423" spans="1:5">
      <c r="A423" s="26"/>
      <c r="B423" s="27"/>
      <c r="C423" s="26"/>
      <c r="D423" s="26"/>
      <c r="E423" s="27"/>
    </row>
    <row r="424" spans="1:5">
      <c r="A424" s="26"/>
      <c r="B424" s="27"/>
      <c r="C424" s="26"/>
      <c r="D424" s="26"/>
      <c r="E424" s="27"/>
    </row>
    <row r="425" spans="1:5">
      <c r="A425" s="26"/>
      <c r="B425" s="27"/>
      <c r="C425" s="26"/>
      <c r="D425" s="26"/>
      <c r="E425" s="27"/>
    </row>
    <row r="426" spans="1:5">
      <c r="A426" s="26"/>
      <c r="B426" s="27"/>
      <c r="C426" s="26"/>
      <c r="D426" s="26"/>
      <c r="E426" s="27"/>
    </row>
    <row r="427" spans="1:5">
      <c r="A427" s="26"/>
      <c r="B427" s="27"/>
      <c r="C427" s="26"/>
      <c r="D427" s="26"/>
      <c r="E427" s="27"/>
    </row>
    <row r="428" spans="1:5">
      <c r="A428" s="28"/>
      <c r="B428" s="29"/>
      <c r="C428" s="28"/>
      <c r="D428" s="28"/>
      <c r="E428" s="29"/>
    </row>
    <row r="429" spans="1:5">
      <c r="A429" s="26"/>
      <c r="B429" s="27"/>
      <c r="C429" s="26"/>
      <c r="D429" s="26"/>
      <c r="E429" s="27"/>
    </row>
    <row r="430" customHeight="1" spans="1:5">
      <c r="A430" s="26"/>
      <c r="B430" s="27"/>
      <c r="C430" s="26"/>
      <c r="D430" s="26"/>
      <c r="E430" s="27"/>
    </row>
    <row r="431" customHeight="1" spans="1:5">
      <c r="A431" s="26"/>
      <c r="B431" s="27"/>
      <c r="C431" s="26"/>
      <c r="D431" s="26"/>
      <c r="E431" s="27"/>
    </row>
    <row r="432" customHeight="1" spans="1:5">
      <c r="A432" s="26"/>
      <c r="B432" s="27"/>
      <c r="C432" s="26"/>
      <c r="D432" s="26"/>
      <c r="E432" s="27"/>
    </row>
    <row r="433" customHeight="1" spans="1:5">
      <c r="A433" s="26"/>
      <c r="B433" s="27"/>
      <c r="C433" s="26"/>
      <c r="D433" s="26"/>
      <c r="E433" s="27"/>
    </row>
    <row r="434" ht="11.25" customHeight="1" spans="1:5">
      <c r="A434" s="26"/>
      <c r="B434" s="27"/>
      <c r="C434" s="26"/>
      <c r="D434" s="26"/>
      <c r="E434" s="27"/>
    </row>
    <row r="435" customHeight="1" spans="1:5">
      <c r="A435" s="26"/>
      <c r="B435" s="27"/>
      <c r="C435" s="26"/>
      <c r="D435" s="26"/>
      <c r="E435" s="27"/>
    </row>
    <row r="436" customHeight="1" spans="1:5">
      <c r="A436" s="26"/>
      <c r="B436" s="27"/>
      <c r="C436" s="26"/>
      <c r="D436" s="26"/>
      <c r="E436" s="27"/>
    </row>
    <row r="437" customHeight="1" spans="1:5">
      <c r="A437" s="26"/>
      <c r="B437" s="27"/>
      <c r="C437" s="26"/>
      <c r="D437" s="26"/>
      <c r="E437" s="27"/>
    </row>
    <row r="438" spans="1:5">
      <c r="A438" s="26"/>
      <c r="B438" s="27"/>
      <c r="C438" s="26"/>
      <c r="D438" s="26"/>
      <c r="E438" s="27"/>
    </row>
    <row r="439" spans="1:5">
      <c r="A439" s="28"/>
      <c r="B439" s="29"/>
      <c r="C439" s="28"/>
      <c r="D439" s="28"/>
      <c r="E439" s="29"/>
    </row>
    <row r="440" spans="1:5">
      <c r="A440" s="26"/>
      <c r="B440" s="27"/>
      <c r="C440" s="26"/>
      <c r="D440" s="26"/>
      <c r="E440" s="27"/>
    </row>
    <row r="441" customHeight="1" spans="1:5">
      <c r="A441" s="26"/>
      <c r="B441" s="27"/>
      <c r="C441" s="26"/>
      <c r="D441" s="26"/>
      <c r="E441" s="27"/>
    </row>
    <row r="442" spans="1:5">
      <c r="A442" s="26"/>
      <c r="B442" s="27"/>
      <c r="C442" s="26"/>
      <c r="D442" s="26"/>
      <c r="E442" s="27"/>
    </row>
    <row r="443" spans="1:5">
      <c r="A443" s="26"/>
      <c r="B443" s="27"/>
      <c r="C443" s="26"/>
      <c r="D443" s="26"/>
      <c r="E443" s="27"/>
    </row>
    <row r="444" spans="1:5">
      <c r="A444" s="26"/>
      <c r="B444" s="27"/>
      <c r="C444" s="26"/>
      <c r="D444" s="26"/>
      <c r="E444" s="27"/>
    </row>
    <row r="445" spans="1:5">
      <c r="A445" s="26"/>
      <c r="B445" s="27"/>
      <c r="C445" s="26"/>
      <c r="D445" s="26"/>
      <c r="E445" s="27"/>
    </row>
    <row r="446" spans="1:5">
      <c r="A446" s="26"/>
      <c r="B446" s="27"/>
      <c r="C446" s="26"/>
      <c r="D446" s="26"/>
      <c r="E446" s="27"/>
    </row>
    <row r="447" spans="1:5">
      <c r="A447" s="26"/>
      <c r="B447" s="27"/>
      <c r="C447" s="26"/>
      <c r="D447" s="26"/>
      <c r="E447" s="27"/>
    </row>
    <row r="448" spans="1:5">
      <c r="A448" s="26"/>
      <c r="B448" s="27"/>
      <c r="C448" s="26"/>
      <c r="D448" s="26"/>
      <c r="E448" s="27"/>
    </row>
    <row r="449" spans="1:5">
      <c r="A449" s="28"/>
      <c r="B449" s="29"/>
      <c r="C449" s="28"/>
      <c r="D449" s="28"/>
      <c r="E449" s="29"/>
    </row>
    <row r="450" spans="1:5">
      <c r="A450" s="26"/>
      <c r="B450" s="27"/>
      <c r="C450" s="26"/>
      <c r="D450" s="26"/>
      <c r="E450" s="27"/>
    </row>
    <row r="451" spans="1:5">
      <c r="A451" s="26"/>
      <c r="B451" s="27"/>
      <c r="C451" s="26"/>
      <c r="D451" s="26"/>
      <c r="E451" s="27"/>
    </row>
    <row r="452" spans="1:5">
      <c r="A452" s="26"/>
      <c r="B452" s="27"/>
      <c r="C452" s="26"/>
      <c r="D452" s="26"/>
      <c r="E452" s="27"/>
    </row>
    <row r="453" spans="1:5">
      <c r="A453" s="26"/>
      <c r="B453" s="27"/>
      <c r="C453" s="26"/>
      <c r="D453" s="26"/>
      <c r="E453" s="27"/>
    </row>
    <row r="454" spans="1:5">
      <c r="A454" s="26"/>
      <c r="B454" s="27"/>
      <c r="C454" s="26"/>
      <c r="D454" s="26"/>
      <c r="E454" s="27"/>
    </row>
    <row r="455" spans="1:5">
      <c r="A455" s="26"/>
      <c r="B455" s="27"/>
      <c r="C455" s="26"/>
      <c r="D455" s="26"/>
      <c r="E455" s="27"/>
    </row>
    <row r="456" spans="1:5">
      <c r="A456" s="26"/>
      <c r="B456" s="27"/>
      <c r="C456" s="26"/>
      <c r="D456" s="26"/>
      <c r="E456" s="27"/>
    </row>
    <row r="457" spans="1:5">
      <c r="A457" s="26"/>
      <c r="B457" s="27"/>
      <c r="C457" s="26"/>
      <c r="D457" s="26"/>
      <c r="E457" s="27"/>
    </row>
    <row r="458" spans="1:5">
      <c r="A458" s="28"/>
      <c r="B458" s="29"/>
      <c r="C458" s="28"/>
      <c r="D458" s="28"/>
      <c r="E458" s="29"/>
    </row>
    <row r="459" spans="1:5">
      <c r="A459" s="26"/>
      <c r="B459" s="27"/>
      <c r="C459" s="26"/>
      <c r="D459" s="26"/>
      <c r="E459" s="27"/>
    </row>
    <row r="460" spans="1:5">
      <c r="A460" s="26"/>
      <c r="B460" s="27"/>
      <c r="C460" s="26"/>
      <c r="D460" s="26"/>
      <c r="E460" s="27"/>
    </row>
    <row r="461" spans="1:5">
      <c r="A461" s="26"/>
      <c r="B461" s="27"/>
      <c r="C461" s="26"/>
      <c r="D461" s="26"/>
      <c r="E461" s="27"/>
    </row>
    <row r="462" spans="1:5">
      <c r="A462" s="26"/>
      <c r="B462" s="27"/>
      <c r="C462" s="26"/>
      <c r="D462" s="26"/>
      <c r="E462" s="27"/>
    </row>
    <row r="463" spans="1:5">
      <c r="A463" s="26"/>
      <c r="B463" s="27"/>
      <c r="C463" s="26"/>
      <c r="D463" s="26"/>
      <c r="E463" s="27"/>
    </row>
    <row r="464" spans="1:5">
      <c r="A464" s="26"/>
      <c r="B464" s="27"/>
      <c r="C464" s="26"/>
      <c r="D464" s="26"/>
      <c r="E464" s="27"/>
    </row>
    <row r="465" spans="1:5">
      <c r="A465" s="26"/>
      <c r="B465" s="27"/>
      <c r="C465" s="26"/>
      <c r="D465" s="26"/>
      <c r="E465" s="27"/>
    </row>
    <row r="466" spans="1:5">
      <c r="A466" s="26"/>
      <c r="B466" s="27"/>
      <c r="C466" s="26"/>
      <c r="D466" s="26"/>
      <c r="E466" s="27"/>
    </row>
    <row r="467" spans="1:5">
      <c r="A467" s="26"/>
      <c r="B467" s="27"/>
      <c r="C467" s="26"/>
      <c r="D467" s="26"/>
      <c r="E467" s="27"/>
    </row>
    <row r="468" spans="1:5">
      <c r="A468" s="26"/>
      <c r="B468" s="27"/>
      <c r="C468" s="26"/>
      <c r="D468" s="26"/>
      <c r="E468" s="27"/>
    </row>
    <row r="469" spans="1:5">
      <c r="A469" s="26"/>
      <c r="B469" s="27"/>
      <c r="C469" s="26"/>
      <c r="D469" s="26"/>
      <c r="E469" s="27"/>
    </row>
    <row r="470" spans="1:5">
      <c r="A470" s="26"/>
      <c r="B470" s="27"/>
      <c r="C470" s="26"/>
      <c r="D470" s="26"/>
      <c r="E470" s="27"/>
    </row>
    <row r="471" spans="1:5">
      <c r="A471" s="26"/>
      <c r="B471" s="27"/>
      <c r="C471" s="26"/>
      <c r="D471" s="26"/>
      <c r="E471" s="27"/>
    </row>
    <row r="472" spans="1:5">
      <c r="A472" s="26"/>
      <c r="B472" s="27"/>
      <c r="C472" s="26"/>
      <c r="D472" s="26"/>
      <c r="E472" s="27"/>
    </row>
    <row r="473" spans="1:5">
      <c r="A473" s="26"/>
      <c r="B473" s="27"/>
      <c r="C473" s="26"/>
      <c r="D473" s="26"/>
      <c r="E473" s="27"/>
    </row>
    <row r="474" spans="1:5">
      <c r="A474" s="26"/>
      <c r="B474" s="27"/>
      <c r="C474" s="26"/>
      <c r="D474" s="26"/>
      <c r="E474" s="27"/>
    </row>
    <row r="475" spans="1:5">
      <c r="A475" s="26"/>
      <c r="B475" s="27"/>
      <c r="C475" s="26"/>
      <c r="D475" s="26"/>
      <c r="E475" s="27"/>
    </row>
    <row r="476" spans="1:5">
      <c r="A476" s="26"/>
      <c r="B476" s="27"/>
      <c r="C476" s="26"/>
      <c r="D476" s="26"/>
      <c r="E476" s="27"/>
    </row>
    <row r="477" spans="1:5">
      <c r="A477" s="26"/>
      <c r="B477" s="27"/>
      <c r="C477" s="26"/>
      <c r="D477" s="26"/>
      <c r="E477" s="27"/>
    </row>
    <row r="478" customHeight="1" spans="1:5">
      <c r="A478" s="26"/>
      <c r="B478" s="27"/>
      <c r="C478" s="26"/>
      <c r="D478" s="26"/>
      <c r="E478" s="27"/>
    </row>
    <row r="479" spans="1:5">
      <c r="A479" s="26"/>
      <c r="B479" s="27"/>
      <c r="C479" s="26"/>
      <c r="D479" s="26"/>
      <c r="E479" s="27"/>
    </row>
    <row r="480" spans="1:5">
      <c r="A480" s="26"/>
      <c r="B480" s="27"/>
      <c r="C480" s="26"/>
      <c r="D480" s="26"/>
      <c r="E480" s="27"/>
    </row>
    <row r="481" spans="1:5">
      <c r="A481" s="26"/>
      <c r="B481" s="27"/>
      <c r="C481" s="26"/>
      <c r="D481" s="26"/>
      <c r="E481" s="27"/>
    </row>
    <row r="482" spans="1:5">
      <c r="A482" s="26"/>
      <c r="B482" s="27"/>
      <c r="C482" s="26"/>
      <c r="D482" s="26"/>
      <c r="E482" s="27"/>
    </row>
    <row r="483" spans="1:5">
      <c r="A483" s="26"/>
      <c r="B483" s="27"/>
      <c r="C483" s="26"/>
      <c r="D483" s="26"/>
      <c r="E483" s="27"/>
    </row>
    <row r="484" spans="1:5">
      <c r="A484" s="26"/>
      <c r="B484" s="27"/>
      <c r="C484" s="26"/>
      <c r="D484" s="26"/>
      <c r="E484" s="27"/>
    </row>
    <row r="485" spans="1:5">
      <c r="A485" s="26"/>
      <c r="B485" s="27"/>
      <c r="C485" s="26"/>
      <c r="D485" s="26"/>
      <c r="E485" s="27"/>
    </row>
    <row r="486" spans="1:5">
      <c r="A486" s="26"/>
      <c r="B486" s="27"/>
      <c r="C486" s="26"/>
      <c r="D486" s="26"/>
      <c r="E486" s="27"/>
    </row>
    <row r="487" spans="1:5">
      <c r="A487" s="26"/>
      <c r="B487" s="27"/>
      <c r="C487" s="26"/>
      <c r="D487" s="26"/>
      <c r="E487" s="27"/>
    </row>
    <row r="488" spans="1:5">
      <c r="A488" s="26"/>
      <c r="B488" s="27"/>
      <c r="C488" s="26"/>
      <c r="D488" s="26"/>
      <c r="E488" s="27"/>
    </row>
    <row r="489" spans="1:5">
      <c r="A489" s="26"/>
      <c r="B489" s="27"/>
      <c r="C489" s="26"/>
      <c r="D489" s="26"/>
      <c r="E489" s="27"/>
    </row>
    <row r="490" spans="1:5">
      <c r="A490" s="26"/>
      <c r="B490" s="27"/>
      <c r="C490" s="26"/>
      <c r="D490" s="26"/>
      <c r="E490" s="27"/>
    </row>
    <row r="491" spans="1:5">
      <c r="A491" s="26"/>
      <c r="B491" s="27"/>
      <c r="C491" s="26"/>
      <c r="D491" s="26"/>
      <c r="E491" s="27"/>
    </row>
    <row r="492" spans="1:5">
      <c r="A492" s="26"/>
      <c r="B492" s="27"/>
      <c r="C492" s="26"/>
      <c r="D492" s="26"/>
      <c r="E492" s="27"/>
    </row>
    <row r="493" spans="1:5">
      <c r="A493" s="26"/>
      <c r="B493" s="27"/>
      <c r="C493" s="26"/>
      <c r="D493" s="26"/>
      <c r="E493" s="27"/>
    </row>
    <row r="494" spans="1:5">
      <c r="A494" s="26"/>
      <c r="B494" s="27"/>
      <c r="C494" s="26"/>
      <c r="D494" s="26"/>
      <c r="E494" s="27"/>
    </row>
    <row r="495" spans="1:5">
      <c r="A495" s="26"/>
      <c r="B495" s="27"/>
      <c r="C495" s="26"/>
      <c r="D495" s="26"/>
      <c r="E495" s="27"/>
    </row>
    <row r="496" spans="1:5">
      <c r="A496" s="26"/>
      <c r="B496" s="27"/>
      <c r="C496" s="26"/>
      <c r="D496" s="26"/>
      <c r="E496" s="27"/>
    </row>
    <row r="497" spans="1:5">
      <c r="A497" s="26"/>
      <c r="B497" s="27"/>
      <c r="C497" s="26"/>
      <c r="D497" s="26"/>
      <c r="E497" s="27"/>
    </row>
    <row r="498" spans="1:5">
      <c r="A498" s="26"/>
      <c r="B498" s="27"/>
      <c r="C498" s="26"/>
      <c r="D498" s="26"/>
      <c r="E498" s="27"/>
    </row>
    <row r="499" spans="1:5">
      <c r="A499" s="26"/>
      <c r="B499" s="27"/>
      <c r="C499" s="26"/>
      <c r="D499" s="26"/>
      <c r="E499" s="27"/>
    </row>
    <row r="500" customHeight="1" spans="1:5">
      <c r="A500" s="26"/>
      <c r="B500" s="27"/>
      <c r="C500" s="26"/>
      <c r="D500" s="26"/>
      <c r="E500" s="27"/>
    </row>
    <row r="501" customHeight="1" spans="1:5">
      <c r="A501" s="26"/>
      <c r="B501" s="27"/>
      <c r="C501" s="26"/>
      <c r="D501" s="26"/>
      <c r="E501" s="27"/>
    </row>
    <row r="502" customHeight="1" spans="1:5">
      <c r="A502" s="26"/>
      <c r="B502" s="27"/>
      <c r="C502" s="26"/>
      <c r="D502" s="26"/>
      <c r="E502" s="27"/>
    </row>
    <row r="503" spans="1:5">
      <c r="A503" s="26"/>
      <c r="B503" s="27"/>
      <c r="C503" s="26"/>
      <c r="D503" s="26"/>
      <c r="E503" s="27"/>
    </row>
    <row r="504" spans="1:5">
      <c r="A504" s="26"/>
      <c r="B504" s="27"/>
      <c r="C504" s="26"/>
      <c r="D504" s="26"/>
      <c r="E504" s="27"/>
    </row>
    <row r="505" spans="1:5">
      <c r="A505" s="26"/>
      <c r="B505" s="27"/>
      <c r="C505" s="26"/>
      <c r="D505" s="26"/>
      <c r="E505" s="27"/>
    </row>
    <row r="506" spans="1:5">
      <c r="A506" s="26"/>
      <c r="B506" s="27"/>
      <c r="C506" s="26"/>
      <c r="D506" s="26"/>
      <c r="E506" s="27"/>
    </row>
    <row r="507" spans="1:5">
      <c r="A507" s="26"/>
      <c r="B507" s="27"/>
      <c r="C507" s="26"/>
      <c r="D507" s="26"/>
      <c r="E507" s="27"/>
    </row>
    <row r="508" spans="1:5">
      <c r="A508" s="26"/>
      <c r="B508" s="27"/>
      <c r="C508" s="26"/>
      <c r="D508" s="26"/>
      <c r="E508" s="27"/>
    </row>
    <row r="509" spans="1:5">
      <c r="A509" s="26"/>
      <c r="B509" s="27"/>
      <c r="C509" s="26"/>
      <c r="D509" s="26"/>
      <c r="E509" s="27"/>
    </row>
    <row r="510" spans="1:5">
      <c r="A510" s="26"/>
      <c r="B510" s="27"/>
      <c r="C510" s="26"/>
      <c r="D510" s="26"/>
      <c r="E510" s="27"/>
    </row>
    <row r="511" spans="1:5">
      <c r="A511" s="26"/>
      <c r="B511" s="27"/>
      <c r="C511" s="26"/>
      <c r="D511" s="26"/>
      <c r="E511" s="27"/>
    </row>
    <row r="512" spans="1:5">
      <c r="A512" s="26"/>
      <c r="B512" s="27"/>
      <c r="C512" s="26"/>
      <c r="D512" s="26"/>
      <c r="E512" s="27"/>
    </row>
    <row r="513" spans="1:5">
      <c r="A513" s="26"/>
      <c r="B513" s="27"/>
      <c r="C513" s="26"/>
      <c r="D513" s="26"/>
      <c r="E513" s="27"/>
    </row>
    <row r="514" ht="48" customHeight="1" spans="1:5">
      <c r="A514" s="26"/>
      <c r="B514" s="27"/>
      <c r="C514" s="26"/>
      <c r="D514" s="26"/>
      <c r="E514" s="27"/>
    </row>
    <row r="515" spans="1:5">
      <c r="A515" s="26"/>
      <c r="B515" s="27"/>
      <c r="C515" s="26"/>
      <c r="D515" s="26"/>
      <c r="E515" s="27"/>
    </row>
    <row r="516" ht="24" customHeight="1" spans="1:5">
      <c r="A516" s="26"/>
      <c r="B516" s="27"/>
      <c r="C516" s="26"/>
      <c r="D516" s="26"/>
      <c r="E516" s="27"/>
    </row>
    <row r="517" spans="1:5">
      <c r="A517" s="26"/>
      <c r="B517" s="27"/>
      <c r="C517" s="26"/>
      <c r="D517" s="26"/>
      <c r="E517" s="27"/>
    </row>
    <row r="518" spans="1:5">
      <c r="A518" s="26"/>
      <c r="B518" s="27"/>
      <c r="C518" s="26"/>
      <c r="D518" s="26"/>
      <c r="E518" s="27"/>
    </row>
    <row r="519" spans="1:5">
      <c r="A519" s="26"/>
      <c r="B519" s="27"/>
      <c r="C519" s="26"/>
      <c r="D519" s="26"/>
      <c r="E519" s="27"/>
    </row>
    <row r="520" spans="1:5">
      <c r="A520" s="26"/>
      <c r="B520" s="27"/>
      <c r="C520" s="26"/>
      <c r="D520" s="26"/>
      <c r="E520" s="27"/>
    </row>
    <row r="521" spans="1:5">
      <c r="A521" s="26"/>
      <c r="B521" s="27"/>
      <c r="C521" s="26"/>
      <c r="D521" s="26"/>
      <c r="E521" s="27"/>
    </row>
    <row r="522" spans="1:5">
      <c r="A522" s="26"/>
      <c r="B522" s="27"/>
      <c r="C522" s="26"/>
      <c r="D522" s="26"/>
      <c r="E522" s="27"/>
    </row>
    <row r="523" spans="1:5">
      <c r="A523" s="26"/>
      <c r="B523" s="27"/>
      <c r="C523" s="26"/>
      <c r="D523" s="26"/>
      <c r="E523" s="27"/>
    </row>
    <row r="524" spans="1:5">
      <c r="A524" s="26"/>
      <c r="B524" s="27"/>
      <c r="C524" s="26"/>
      <c r="D524" s="26"/>
      <c r="E524" s="27"/>
    </row>
    <row r="525" spans="1:5">
      <c r="A525" s="26"/>
      <c r="B525" s="27"/>
      <c r="C525" s="26"/>
      <c r="D525" s="26"/>
      <c r="E525" s="27"/>
    </row>
    <row r="526" spans="1:5">
      <c r="A526" s="26"/>
      <c r="B526" s="27"/>
      <c r="C526" s="26"/>
      <c r="D526" s="26"/>
      <c r="E526" s="27"/>
    </row>
    <row r="527" spans="1:5">
      <c r="A527" s="26"/>
      <c r="B527" s="27"/>
      <c r="C527" s="26"/>
      <c r="D527" s="26"/>
      <c r="E527" s="27"/>
    </row>
    <row r="528" spans="1:5">
      <c r="A528" s="26"/>
      <c r="B528" s="27"/>
      <c r="C528" s="26"/>
      <c r="D528" s="26"/>
      <c r="E528" s="27"/>
    </row>
    <row r="529" spans="1:5">
      <c r="A529" s="26"/>
      <c r="B529" s="27"/>
      <c r="C529" s="26"/>
      <c r="D529" s="26"/>
      <c r="E529" s="27"/>
    </row>
    <row r="530" spans="1:5">
      <c r="A530" s="26"/>
      <c r="B530" s="27"/>
      <c r="C530" s="26"/>
      <c r="D530" s="26"/>
      <c r="E530" s="27"/>
    </row>
    <row r="531" spans="1:5">
      <c r="A531" s="26"/>
      <c r="B531" s="27"/>
      <c r="C531" s="26"/>
      <c r="D531" s="26"/>
      <c r="E531" s="27"/>
    </row>
    <row r="532" spans="1:5">
      <c r="A532" s="26"/>
      <c r="B532" s="27"/>
      <c r="C532" s="26"/>
      <c r="D532" s="26"/>
      <c r="E532" s="27"/>
    </row>
    <row r="533" spans="1:5">
      <c r="A533" s="26"/>
      <c r="B533" s="27"/>
      <c r="C533" s="26"/>
      <c r="D533" s="26"/>
      <c r="E533" s="27"/>
    </row>
    <row r="534" spans="1:5">
      <c r="A534" s="26"/>
      <c r="B534" s="27"/>
      <c r="C534" s="26"/>
      <c r="D534" s="26"/>
      <c r="E534" s="27"/>
    </row>
    <row r="535" spans="1:5">
      <c r="A535" s="26"/>
      <c r="B535" s="27"/>
      <c r="C535" s="26"/>
      <c r="D535" s="26"/>
      <c r="E535" s="27"/>
    </row>
    <row r="536" spans="1:5">
      <c r="A536" s="26"/>
      <c r="B536" s="27"/>
      <c r="C536" s="26"/>
      <c r="D536" s="26"/>
      <c r="E536" s="27"/>
    </row>
    <row r="537" spans="1:5">
      <c r="A537" s="26"/>
      <c r="B537" s="27"/>
      <c r="C537" s="26"/>
      <c r="D537" s="26"/>
      <c r="E537" s="27"/>
    </row>
    <row r="538" spans="1:5">
      <c r="A538" s="26"/>
      <c r="B538" s="27"/>
      <c r="C538" s="26"/>
      <c r="D538" s="26"/>
      <c r="E538" s="27"/>
    </row>
    <row r="539" spans="1:5">
      <c r="A539" s="26"/>
      <c r="B539" s="27"/>
      <c r="C539" s="26"/>
      <c r="D539" s="26"/>
      <c r="E539" s="27"/>
    </row>
    <row r="540" spans="1:5">
      <c r="A540" s="26"/>
      <c r="B540" s="27"/>
      <c r="C540" s="26"/>
      <c r="D540" s="26"/>
      <c r="E540" s="27"/>
    </row>
    <row r="541" spans="1:5">
      <c r="A541" s="26"/>
      <c r="B541" s="27"/>
      <c r="C541" s="26"/>
      <c r="D541" s="26"/>
      <c r="E541" s="27"/>
    </row>
    <row r="542" spans="1:5">
      <c r="A542" s="26"/>
      <c r="B542" s="27"/>
      <c r="C542" s="26"/>
      <c r="D542" s="26"/>
      <c r="E542" s="27"/>
    </row>
    <row r="543" spans="1:5">
      <c r="A543" s="26"/>
      <c r="B543" s="27"/>
      <c r="C543" s="26"/>
      <c r="D543" s="26"/>
      <c r="E543" s="27"/>
    </row>
    <row r="544" spans="1:5">
      <c r="A544" s="26"/>
      <c r="B544" s="27"/>
      <c r="C544" s="26"/>
      <c r="D544" s="26"/>
      <c r="E544" s="27"/>
    </row>
    <row r="545" spans="1:5">
      <c r="A545" s="26"/>
      <c r="B545" s="27"/>
      <c r="C545" s="26"/>
      <c r="D545" s="26"/>
      <c r="E545" s="27"/>
    </row>
    <row r="546" spans="1:5">
      <c r="A546" s="26"/>
      <c r="B546" s="27"/>
      <c r="C546" s="26"/>
      <c r="D546" s="26"/>
      <c r="E546" s="27"/>
    </row>
    <row r="547" spans="1:5">
      <c r="A547" s="26"/>
      <c r="B547" s="27"/>
      <c r="C547" s="26"/>
      <c r="D547" s="26"/>
      <c r="E547" s="27"/>
    </row>
    <row r="548" spans="1:5">
      <c r="A548" s="26"/>
      <c r="B548" s="27"/>
      <c r="C548" s="26"/>
      <c r="D548" s="26"/>
      <c r="E548" s="27"/>
    </row>
    <row r="549" spans="1:5">
      <c r="A549" s="26"/>
      <c r="B549" s="27"/>
      <c r="C549" s="26"/>
      <c r="D549" s="26"/>
      <c r="E549" s="27"/>
    </row>
    <row r="550" spans="1:5">
      <c r="A550" s="26"/>
      <c r="B550" s="27"/>
      <c r="C550" s="26"/>
      <c r="D550" s="26"/>
      <c r="E550" s="27"/>
    </row>
    <row r="551" spans="1:5">
      <c r="A551" s="26"/>
      <c r="B551" s="27"/>
      <c r="C551" s="26"/>
      <c r="D551" s="26"/>
      <c r="E551" s="27"/>
    </row>
    <row r="552" spans="1:5">
      <c r="A552" s="26"/>
      <c r="B552" s="27"/>
      <c r="C552" s="26"/>
      <c r="D552" s="26"/>
      <c r="E552" s="27"/>
    </row>
    <row r="553" spans="1:5">
      <c r="A553" s="26"/>
      <c r="B553" s="27"/>
      <c r="C553" s="26"/>
      <c r="D553" s="26"/>
      <c r="E553" s="27"/>
    </row>
    <row r="554" spans="1:5">
      <c r="A554" s="26"/>
      <c r="B554" s="27"/>
      <c r="C554" s="26"/>
      <c r="D554" s="26"/>
      <c r="E554" s="27"/>
    </row>
    <row r="555" spans="1:5">
      <c r="A555" s="26"/>
      <c r="B555" s="27"/>
      <c r="C555" s="26"/>
      <c r="D555" s="26"/>
      <c r="E555" s="27"/>
    </row>
    <row r="556" spans="1:5">
      <c r="A556" s="26"/>
      <c r="B556" s="27"/>
      <c r="C556" s="26"/>
      <c r="D556" s="26"/>
      <c r="E556" s="27"/>
    </row>
    <row r="557" spans="1:5">
      <c r="A557" s="26"/>
      <c r="B557" s="27"/>
      <c r="C557" s="26"/>
      <c r="D557" s="26"/>
      <c r="E557" s="27"/>
    </row>
    <row r="558" spans="1:5">
      <c r="A558" s="26"/>
      <c r="B558" s="27"/>
      <c r="C558" s="26"/>
      <c r="D558" s="26"/>
      <c r="E558" s="27"/>
    </row>
    <row r="559" spans="1:5">
      <c r="A559" s="26"/>
      <c r="B559" s="27"/>
      <c r="C559" s="26"/>
      <c r="D559" s="26"/>
      <c r="E559" s="27"/>
    </row>
    <row r="560" spans="1:5">
      <c r="A560" s="26"/>
      <c r="B560" s="27"/>
      <c r="C560" s="26"/>
      <c r="D560" s="26"/>
      <c r="E560" s="27"/>
    </row>
    <row r="561" spans="1:5">
      <c r="A561" s="26"/>
      <c r="B561" s="27"/>
      <c r="C561" s="26"/>
      <c r="D561" s="26"/>
      <c r="E561" s="27"/>
    </row>
    <row r="562" spans="1:5">
      <c r="A562" s="26"/>
      <c r="B562" s="27"/>
      <c r="C562" s="26"/>
      <c r="D562" s="26"/>
      <c r="E562" s="27"/>
    </row>
    <row r="563" spans="1:5">
      <c r="A563" s="26"/>
      <c r="B563" s="27"/>
      <c r="C563" s="26"/>
      <c r="D563" s="26"/>
      <c r="E563" s="27"/>
    </row>
    <row r="564" spans="1:5">
      <c r="A564" s="26"/>
      <c r="B564" s="27"/>
      <c r="C564" s="26"/>
      <c r="D564" s="26"/>
      <c r="E564" s="27"/>
    </row>
    <row r="565" spans="1:5">
      <c r="A565" s="26"/>
      <c r="B565" s="27"/>
      <c r="C565" s="26"/>
      <c r="D565" s="26"/>
      <c r="E565" s="27"/>
    </row>
    <row r="566" spans="1:5">
      <c r="A566" s="26"/>
      <c r="B566" s="27"/>
      <c r="C566" s="26"/>
      <c r="D566" s="26"/>
      <c r="E566" s="27"/>
    </row>
    <row r="567" spans="1:5">
      <c r="A567" s="26"/>
      <c r="B567" s="27"/>
      <c r="C567" s="26"/>
      <c r="D567" s="26"/>
      <c r="E567" s="27"/>
    </row>
    <row r="568" spans="1:5">
      <c r="A568" s="28"/>
      <c r="B568" s="29"/>
      <c r="C568" s="28"/>
      <c r="D568" s="28"/>
      <c r="E568" s="29"/>
    </row>
    <row r="569" spans="1:5">
      <c r="A569" s="26"/>
      <c r="B569" s="27"/>
      <c r="C569" s="26"/>
      <c r="D569" s="26"/>
      <c r="E569" s="27"/>
    </row>
    <row r="570" spans="1:5">
      <c r="A570" s="26"/>
      <c r="B570" s="27"/>
      <c r="C570" s="26"/>
      <c r="D570" s="26"/>
      <c r="E570" s="27"/>
    </row>
    <row r="571" spans="1:5">
      <c r="A571" s="26"/>
      <c r="B571" s="27"/>
      <c r="C571" s="26"/>
      <c r="D571" s="26"/>
      <c r="E571" s="27"/>
    </row>
    <row r="572" spans="1:5">
      <c r="A572" s="26"/>
      <c r="B572" s="27"/>
      <c r="C572" s="26"/>
      <c r="D572" s="26"/>
      <c r="E572" s="27"/>
    </row>
    <row r="573" spans="1:5">
      <c r="A573" s="26"/>
      <c r="B573" s="27"/>
      <c r="C573" s="26"/>
      <c r="D573" s="26"/>
      <c r="E573" s="27"/>
    </row>
    <row r="574" ht="24" customHeight="1" spans="1:5">
      <c r="A574" s="26"/>
      <c r="B574" s="27"/>
      <c r="C574" s="26"/>
      <c r="D574" s="26"/>
      <c r="E574" s="27"/>
    </row>
    <row r="575" spans="1:5">
      <c r="A575" s="26"/>
      <c r="B575" s="27"/>
      <c r="C575" s="26"/>
      <c r="D575" s="26"/>
      <c r="E575" s="27"/>
    </row>
    <row r="576" ht="24" customHeight="1" spans="1:5">
      <c r="A576" s="26"/>
      <c r="B576" s="27"/>
      <c r="C576" s="26"/>
      <c r="D576" s="26"/>
      <c r="E576" s="27"/>
    </row>
    <row r="577" spans="1:5">
      <c r="A577" s="26"/>
      <c r="B577" s="27"/>
      <c r="C577" s="26"/>
      <c r="D577" s="26"/>
      <c r="E577" s="27"/>
    </row>
    <row r="578" ht="24" customHeight="1" spans="1:5">
      <c r="A578" s="26"/>
      <c r="B578" s="27"/>
      <c r="C578" s="26"/>
      <c r="D578" s="26"/>
      <c r="E578" s="27"/>
    </row>
    <row r="579" ht="24" customHeight="1" spans="1:5">
      <c r="A579" s="26"/>
      <c r="B579" s="27"/>
      <c r="C579" s="26"/>
      <c r="D579" s="26"/>
      <c r="E579" s="27"/>
    </row>
    <row r="580" ht="24" customHeight="1" spans="1:5">
      <c r="A580" s="26"/>
      <c r="B580" s="27"/>
      <c r="C580" s="26"/>
      <c r="D580" s="26"/>
      <c r="E580" s="27"/>
    </row>
    <row r="581" ht="24" customHeight="1" spans="1:5">
      <c r="A581" s="26"/>
      <c r="B581" s="27"/>
      <c r="C581" s="26"/>
      <c r="D581" s="26"/>
      <c r="E581" s="27"/>
    </row>
    <row r="582" spans="1:5">
      <c r="A582" s="26"/>
      <c r="B582" s="27"/>
      <c r="C582" s="26"/>
      <c r="D582" s="26"/>
      <c r="E582" s="27"/>
    </row>
    <row r="583" spans="1:5">
      <c r="A583" s="28"/>
      <c r="B583" s="29"/>
      <c r="C583" s="28"/>
      <c r="D583" s="28"/>
      <c r="E583" s="29"/>
    </row>
    <row r="584" spans="1:5">
      <c r="A584" s="28"/>
      <c r="B584" s="29"/>
      <c r="C584" s="28"/>
      <c r="D584" s="28"/>
      <c r="E584" s="29"/>
    </row>
    <row r="585" spans="1:5">
      <c r="A585" s="26"/>
      <c r="B585" s="27"/>
      <c r="C585" s="26"/>
      <c r="D585" s="26"/>
      <c r="E585" s="27"/>
    </row>
    <row r="586" spans="1:5">
      <c r="A586" s="26"/>
      <c r="B586" s="27"/>
      <c r="C586" s="26"/>
      <c r="D586" s="26"/>
      <c r="E586" s="27"/>
    </row>
    <row r="587" spans="1:5">
      <c r="A587" s="26"/>
      <c r="B587" s="27"/>
      <c r="C587" s="26"/>
      <c r="D587" s="26"/>
      <c r="E587" s="27"/>
    </row>
    <row r="588" customHeight="1" spans="1:5">
      <c r="A588" s="26"/>
      <c r="B588" s="27"/>
      <c r="C588" s="26"/>
      <c r="D588" s="26"/>
      <c r="E588" s="27"/>
    </row>
    <row r="589" spans="1:5">
      <c r="A589" s="26"/>
      <c r="B589" s="27"/>
      <c r="C589" s="26"/>
      <c r="D589" s="26"/>
      <c r="E589" s="27"/>
    </row>
    <row r="590" spans="1:5">
      <c r="A590" s="26"/>
      <c r="B590" s="27"/>
      <c r="C590" s="26"/>
      <c r="D590" s="26"/>
      <c r="E590" s="27"/>
    </row>
    <row r="591" customHeight="1" spans="1:5">
      <c r="A591" s="26"/>
      <c r="B591" s="27"/>
      <c r="C591" s="26"/>
      <c r="D591" s="26"/>
      <c r="E591" s="27"/>
    </row>
    <row r="592" customHeight="1" spans="1:5">
      <c r="A592" s="26"/>
      <c r="B592" s="27"/>
      <c r="C592" s="26"/>
      <c r="D592" s="26"/>
      <c r="E592" s="27"/>
    </row>
    <row r="593" spans="1:5">
      <c r="A593" s="26"/>
      <c r="B593" s="27"/>
      <c r="C593" s="26"/>
      <c r="D593" s="26"/>
      <c r="E593" s="27"/>
    </row>
    <row r="594" spans="1:5">
      <c r="A594" s="26"/>
      <c r="B594" s="27"/>
      <c r="C594" s="26"/>
      <c r="D594" s="26"/>
      <c r="E594" s="27"/>
    </row>
    <row r="595" spans="1:5">
      <c r="A595" s="26"/>
      <c r="B595" s="27"/>
      <c r="C595" s="26"/>
      <c r="D595" s="26"/>
      <c r="E595" s="27"/>
    </row>
    <row r="596" spans="1:5">
      <c r="A596" s="26"/>
      <c r="B596" s="27"/>
      <c r="C596" s="26"/>
      <c r="D596" s="26"/>
      <c r="E596" s="27"/>
    </row>
    <row r="597" customHeight="1" spans="1:5">
      <c r="A597" s="26"/>
      <c r="B597" s="27"/>
      <c r="C597" s="26"/>
      <c r="D597" s="26"/>
      <c r="E597" s="27"/>
    </row>
    <row r="598" spans="1:5">
      <c r="A598" s="26"/>
      <c r="B598" s="27"/>
      <c r="C598" s="26"/>
      <c r="D598" s="26"/>
      <c r="E598" s="27"/>
    </row>
    <row r="599" customHeight="1" spans="1:5">
      <c r="A599" s="26"/>
      <c r="B599" s="27"/>
      <c r="C599" s="26"/>
      <c r="D599" s="26"/>
      <c r="E599" s="27"/>
    </row>
    <row r="600" spans="1:5">
      <c r="A600" s="26"/>
      <c r="B600" s="27"/>
      <c r="C600" s="26"/>
      <c r="D600" s="26"/>
      <c r="E600" s="27"/>
    </row>
    <row r="601" spans="1:5">
      <c r="A601" s="26"/>
      <c r="B601" s="27"/>
      <c r="C601" s="26"/>
      <c r="D601" s="26"/>
      <c r="E601" s="27"/>
    </row>
    <row r="602" spans="1:5">
      <c r="A602" s="26"/>
      <c r="B602" s="27"/>
      <c r="C602" s="26"/>
      <c r="D602" s="26"/>
      <c r="E602" s="27"/>
    </row>
    <row r="603" spans="1:5">
      <c r="A603" s="26"/>
      <c r="B603" s="27"/>
      <c r="C603" s="26"/>
      <c r="D603" s="26"/>
      <c r="E603" s="27"/>
    </row>
    <row r="604" spans="1:5">
      <c r="A604" s="26"/>
      <c r="B604" s="27"/>
      <c r="C604" s="26"/>
      <c r="D604" s="26"/>
      <c r="E604" s="27"/>
    </row>
    <row r="605" spans="1:5">
      <c r="A605" s="26"/>
      <c r="B605" s="27"/>
      <c r="C605" s="26"/>
      <c r="D605" s="26"/>
      <c r="E605" s="27"/>
    </row>
    <row r="606" customHeight="1" spans="1:5">
      <c r="A606" s="26"/>
      <c r="B606" s="27"/>
      <c r="C606" s="26"/>
      <c r="D606" s="26"/>
      <c r="E606" s="27"/>
    </row>
    <row r="607" customHeight="1" spans="1:5">
      <c r="A607" s="26"/>
      <c r="B607" s="27"/>
      <c r="C607" s="26"/>
      <c r="D607" s="26"/>
      <c r="E607" s="27"/>
    </row>
    <row r="608" customHeight="1" spans="1:5">
      <c r="A608" s="26"/>
      <c r="B608" s="27"/>
      <c r="C608" s="26"/>
      <c r="D608" s="26"/>
      <c r="E608" s="27"/>
    </row>
    <row r="609" ht="36" customHeight="1" spans="1:5">
      <c r="A609" s="26"/>
      <c r="B609" s="27"/>
      <c r="C609" s="26"/>
      <c r="D609" s="26"/>
      <c r="E609" s="27"/>
    </row>
    <row r="610" ht="24" customHeight="1" spans="1:5">
      <c r="A610" s="26"/>
      <c r="B610" s="27"/>
      <c r="C610" s="26"/>
      <c r="D610" s="26"/>
      <c r="E610" s="27"/>
    </row>
    <row r="611" spans="1:5">
      <c r="A611" s="26"/>
      <c r="B611" s="27"/>
      <c r="C611" s="26"/>
      <c r="D611" s="26"/>
      <c r="E611" s="27"/>
    </row>
    <row r="612" spans="1:5">
      <c r="A612" s="26"/>
      <c r="B612" s="27"/>
      <c r="C612" s="26"/>
      <c r="D612" s="26"/>
      <c r="E612" s="27"/>
    </row>
    <row r="613" spans="1:5">
      <c r="A613" s="26"/>
      <c r="B613" s="27"/>
      <c r="C613" s="26"/>
      <c r="D613" s="26"/>
      <c r="E613" s="27"/>
    </row>
    <row r="614" spans="1:5">
      <c r="A614" s="26"/>
      <c r="B614" s="27"/>
      <c r="C614" s="26"/>
      <c r="D614" s="26"/>
      <c r="E614" s="27"/>
    </row>
    <row r="615" spans="1:5">
      <c r="A615" s="26"/>
      <c r="B615" s="27"/>
      <c r="C615" s="26"/>
      <c r="D615" s="26"/>
      <c r="E615" s="27"/>
    </row>
    <row r="616" ht="36" customHeight="1" spans="1:5">
      <c r="A616" s="26"/>
      <c r="B616" s="27"/>
      <c r="C616" s="26"/>
      <c r="D616" s="26"/>
      <c r="E616" s="27"/>
    </row>
    <row r="617" spans="1:5">
      <c r="A617" s="26"/>
      <c r="B617" s="27"/>
      <c r="C617" s="26"/>
      <c r="D617" s="26"/>
      <c r="E617" s="27"/>
    </row>
    <row r="618" spans="1:5">
      <c r="A618" s="26"/>
      <c r="B618" s="27"/>
      <c r="C618" s="26"/>
      <c r="D618" s="26"/>
      <c r="E618" s="27"/>
    </row>
    <row r="619" spans="1:5">
      <c r="A619" s="26"/>
      <c r="B619" s="27"/>
      <c r="C619" s="26"/>
      <c r="D619" s="26"/>
      <c r="E619" s="27"/>
    </row>
    <row r="620" spans="1:5">
      <c r="A620" s="26"/>
      <c r="B620" s="27"/>
      <c r="C620" s="26"/>
      <c r="D620" s="26"/>
      <c r="E620" s="27"/>
    </row>
    <row r="621" spans="1:5">
      <c r="A621" s="26"/>
      <c r="B621" s="27"/>
      <c r="C621" s="26"/>
      <c r="D621" s="26"/>
      <c r="E621" s="27"/>
    </row>
    <row r="622" spans="1:5">
      <c r="A622" s="26"/>
      <c r="B622" s="27"/>
      <c r="C622" s="26"/>
      <c r="D622" s="26"/>
      <c r="E622" s="27"/>
    </row>
    <row r="623" spans="1:5">
      <c r="A623" s="26"/>
      <c r="B623" s="27"/>
      <c r="C623" s="26"/>
      <c r="D623" s="26"/>
      <c r="E623" s="27"/>
    </row>
    <row r="624" spans="1:5">
      <c r="A624" s="26"/>
      <c r="B624" s="27"/>
      <c r="C624" s="26"/>
      <c r="D624" s="26"/>
      <c r="E624" s="27"/>
    </row>
    <row r="625" spans="1:5">
      <c r="A625" s="26"/>
      <c r="B625" s="27"/>
      <c r="C625" s="26"/>
      <c r="D625" s="26"/>
      <c r="E625" s="27"/>
    </row>
    <row r="626" spans="1:5">
      <c r="A626" s="26"/>
      <c r="B626" s="27"/>
      <c r="C626" s="26"/>
      <c r="D626" s="26"/>
      <c r="E626" s="27"/>
    </row>
    <row r="627" spans="1:5">
      <c r="A627" s="26"/>
      <c r="B627" s="27"/>
      <c r="C627" s="26"/>
      <c r="D627" s="26"/>
      <c r="E627" s="27"/>
    </row>
    <row r="628" spans="1:5">
      <c r="A628" s="26"/>
      <c r="B628" s="27"/>
      <c r="C628" s="26"/>
      <c r="D628" s="26"/>
      <c r="E628" s="27"/>
    </row>
    <row r="629" spans="1:5">
      <c r="A629" s="26"/>
      <c r="B629" s="27"/>
      <c r="C629" s="26"/>
      <c r="D629" s="26"/>
      <c r="E629" s="27"/>
    </row>
    <row r="630" spans="1:5">
      <c r="A630" s="26"/>
      <c r="B630" s="27"/>
      <c r="C630" s="26"/>
      <c r="D630" s="26"/>
      <c r="E630" s="27"/>
    </row>
    <row r="631" spans="1:5">
      <c r="A631" s="26"/>
      <c r="B631" s="27"/>
      <c r="C631" s="26"/>
      <c r="D631" s="26"/>
      <c r="E631" s="27"/>
    </row>
    <row r="632" spans="1:5">
      <c r="A632" s="26"/>
      <c r="B632" s="27"/>
      <c r="C632" s="26"/>
      <c r="D632" s="26"/>
      <c r="E632" s="27"/>
    </row>
    <row r="633" spans="1:5">
      <c r="A633" s="26"/>
      <c r="B633" s="27"/>
      <c r="C633" s="26"/>
      <c r="D633" s="26"/>
      <c r="E633" s="27"/>
    </row>
    <row r="634" spans="1:5">
      <c r="A634" s="26"/>
      <c r="B634" s="27"/>
      <c r="C634" s="26"/>
      <c r="D634" s="26"/>
      <c r="E634" s="27"/>
    </row>
    <row r="635" spans="1:5">
      <c r="A635" s="26"/>
      <c r="B635" s="27"/>
      <c r="C635" s="26"/>
      <c r="D635" s="26"/>
      <c r="E635" s="27"/>
    </row>
    <row r="636" spans="1:5">
      <c r="A636" s="26"/>
      <c r="B636" s="27"/>
      <c r="C636" s="26"/>
      <c r="D636" s="26"/>
      <c r="E636" s="27"/>
    </row>
    <row r="637" spans="1:5">
      <c r="A637" s="26"/>
      <c r="B637" s="27"/>
      <c r="C637" s="26"/>
      <c r="D637" s="26"/>
      <c r="E637" s="27"/>
    </row>
    <row r="638" spans="1:5">
      <c r="A638" s="26"/>
      <c r="B638" s="27"/>
      <c r="C638" s="26"/>
      <c r="D638" s="26"/>
      <c r="E638" s="27"/>
    </row>
    <row r="639" ht="96" customHeight="1" spans="1:5">
      <c r="A639" s="26"/>
      <c r="B639" s="27"/>
      <c r="C639" s="26"/>
      <c r="D639" s="26"/>
      <c r="E639" s="27"/>
    </row>
    <row r="640" ht="72" customHeight="1" spans="1:5">
      <c r="A640" s="26"/>
      <c r="B640" s="27"/>
      <c r="C640" s="26"/>
      <c r="D640" s="26"/>
      <c r="E640" s="27"/>
    </row>
    <row r="641" customHeight="1" spans="1:5">
      <c r="A641" s="26"/>
      <c r="B641" s="27"/>
      <c r="C641" s="26"/>
      <c r="D641" s="26"/>
      <c r="E641" s="27"/>
    </row>
    <row r="642" spans="1:5">
      <c r="A642" s="26"/>
      <c r="B642" s="27"/>
      <c r="C642" s="26"/>
      <c r="D642" s="26"/>
      <c r="E642" s="27"/>
    </row>
    <row r="643" spans="1:5">
      <c r="A643" s="28"/>
      <c r="B643" s="29"/>
      <c r="C643" s="28"/>
      <c r="D643" s="26"/>
      <c r="E643" s="27"/>
    </row>
    <row r="644" spans="1:5">
      <c r="A644" s="26"/>
      <c r="B644" s="27"/>
      <c r="C644" s="26"/>
      <c r="D644" s="26"/>
      <c r="E644" s="27"/>
    </row>
    <row r="645" spans="1:5">
      <c r="A645" s="26"/>
      <c r="B645" s="27"/>
      <c r="C645" s="26"/>
      <c r="D645" s="26"/>
      <c r="E645" s="27"/>
    </row>
    <row r="646" spans="1:5">
      <c r="A646" s="26"/>
      <c r="B646" s="27"/>
      <c r="C646" s="26"/>
      <c r="D646" s="26"/>
      <c r="E646" s="27"/>
    </row>
    <row r="647" spans="1:5">
      <c r="A647" s="26"/>
      <c r="B647" s="27"/>
      <c r="C647" s="26"/>
      <c r="D647" s="26"/>
      <c r="E647" s="27"/>
    </row>
    <row r="648" customHeight="1" spans="1:5">
      <c r="A648" s="26"/>
      <c r="B648" s="27"/>
      <c r="C648" s="26"/>
      <c r="D648" s="26"/>
      <c r="E648" s="27"/>
    </row>
    <row r="649" spans="1:5">
      <c r="A649" s="26"/>
      <c r="B649" s="27"/>
      <c r="C649" s="26"/>
      <c r="D649" s="26"/>
      <c r="E649" s="27"/>
    </row>
    <row r="650" customHeight="1" spans="1:5">
      <c r="A650" s="26"/>
      <c r="B650" s="27"/>
      <c r="C650" s="26"/>
      <c r="D650" s="26"/>
      <c r="E650" s="27"/>
    </row>
    <row r="651" spans="1:5">
      <c r="A651" s="26"/>
      <c r="B651" s="27"/>
      <c r="C651" s="26"/>
      <c r="D651" s="26"/>
      <c r="E651" s="27"/>
    </row>
    <row r="652" spans="1:5">
      <c r="A652" s="26"/>
      <c r="B652" s="27"/>
      <c r="C652" s="26"/>
      <c r="D652" s="26"/>
      <c r="E652" s="27"/>
    </row>
    <row r="653" spans="1:5">
      <c r="A653" s="28"/>
      <c r="B653" s="29"/>
      <c r="C653" s="28"/>
      <c r="D653" s="28"/>
      <c r="E653" s="29"/>
    </row>
    <row r="654" spans="1:5">
      <c r="A654" s="26"/>
      <c r="B654" s="27"/>
      <c r="C654" s="26"/>
      <c r="D654" s="26"/>
      <c r="E654" s="27"/>
    </row>
    <row r="655" spans="1:5">
      <c r="A655" s="28"/>
      <c r="B655" s="29"/>
      <c r="C655" s="28"/>
      <c r="D655" s="28"/>
      <c r="E655" s="29"/>
    </row>
    <row r="656" spans="1:5">
      <c r="A656" s="26"/>
      <c r="B656" s="27"/>
      <c r="C656" s="26"/>
      <c r="D656" s="26"/>
      <c r="E656" s="27"/>
    </row>
    <row r="657" spans="1:5">
      <c r="A657" s="26"/>
      <c r="B657" s="27"/>
      <c r="C657" s="26"/>
      <c r="D657" s="26"/>
      <c r="E657" s="27"/>
    </row>
    <row r="658" spans="1:5">
      <c r="A658" s="26"/>
      <c r="B658" s="27"/>
      <c r="C658" s="26"/>
      <c r="D658" s="26"/>
      <c r="E658" s="27"/>
    </row>
    <row r="659" spans="1:5">
      <c r="A659" s="26"/>
      <c r="B659" s="27"/>
      <c r="C659" s="26"/>
      <c r="D659" s="26"/>
      <c r="E659" s="27"/>
    </row>
    <row r="660" spans="1:5">
      <c r="A660" s="26"/>
      <c r="B660" s="27"/>
      <c r="C660" s="26"/>
      <c r="D660" s="26"/>
      <c r="E660" s="27"/>
    </row>
    <row r="661" spans="1:5">
      <c r="A661" s="26"/>
      <c r="B661" s="27"/>
      <c r="C661" s="26"/>
      <c r="D661" s="26"/>
      <c r="E661" s="27"/>
    </row>
    <row r="662" spans="1:5">
      <c r="A662" s="26"/>
      <c r="B662" s="27"/>
      <c r="C662" s="26"/>
      <c r="D662" s="26"/>
      <c r="E662" s="27"/>
    </row>
    <row r="663" spans="1:5">
      <c r="A663" s="26"/>
      <c r="B663" s="27"/>
      <c r="C663" s="26"/>
      <c r="D663" s="26"/>
      <c r="E663" s="27"/>
    </row>
    <row r="664" spans="1:5">
      <c r="A664" s="26"/>
      <c r="B664" s="27"/>
      <c r="C664" s="26"/>
      <c r="D664" s="26"/>
      <c r="E664" s="27"/>
    </row>
    <row r="665" spans="1:5">
      <c r="A665" s="26"/>
      <c r="B665" s="27"/>
      <c r="C665" s="26"/>
      <c r="D665" s="26"/>
      <c r="E665" s="27"/>
    </row>
    <row r="666" spans="1:5">
      <c r="A666" s="26"/>
      <c r="B666" s="27"/>
      <c r="C666" s="26"/>
      <c r="D666" s="26"/>
      <c r="E666" s="27"/>
    </row>
    <row r="667" spans="1:5">
      <c r="A667" s="26"/>
      <c r="B667" s="27"/>
      <c r="C667" s="26"/>
      <c r="D667" s="26"/>
      <c r="E667" s="27"/>
    </row>
    <row r="668" spans="1:5">
      <c r="A668" s="26"/>
      <c r="B668" s="27"/>
      <c r="C668" s="26"/>
      <c r="D668" s="26"/>
      <c r="E668" s="27"/>
    </row>
    <row r="669" spans="1:5">
      <c r="A669" s="26"/>
      <c r="B669" s="27"/>
      <c r="C669" s="26"/>
      <c r="D669" s="26"/>
      <c r="E669" s="27"/>
    </row>
    <row r="670" spans="1:5">
      <c r="A670" s="26"/>
      <c r="B670" s="27"/>
      <c r="C670" s="26"/>
      <c r="D670" s="26"/>
      <c r="E670" s="27"/>
    </row>
    <row r="671" customHeight="1" spans="1:5">
      <c r="A671" s="26"/>
      <c r="B671" s="27"/>
      <c r="C671" s="26"/>
      <c r="D671" s="26"/>
      <c r="E671" s="27"/>
    </row>
    <row r="672" ht="70.5" customHeight="1" spans="2:5">
      <c r="B672" s="10"/>
      <c r="E672" s="10"/>
    </row>
    <row r="673" spans="1:5">
      <c r="A673" s="28"/>
      <c r="B673" s="29"/>
      <c r="C673" s="28"/>
      <c r="D673" s="28"/>
      <c r="E673" s="29"/>
    </row>
    <row r="674" spans="1:5">
      <c r="A674" s="26"/>
      <c r="B674" s="27"/>
      <c r="C674" s="26"/>
      <c r="D674" s="26"/>
      <c r="E674" s="27"/>
    </row>
    <row r="675" spans="1:5">
      <c r="A675" s="26"/>
      <c r="B675" s="27"/>
      <c r="C675" s="26"/>
      <c r="D675" s="26"/>
      <c r="E675" s="27"/>
    </row>
    <row r="676" spans="1:5">
      <c r="A676" s="26"/>
      <c r="B676" s="27"/>
      <c r="C676" s="26"/>
      <c r="D676" s="26"/>
      <c r="E676" s="27"/>
    </row>
    <row r="677" spans="1:5">
      <c r="A677" s="26"/>
      <c r="B677" s="27"/>
      <c r="C677" s="26"/>
      <c r="D677" s="26"/>
      <c r="E677" s="27"/>
    </row>
    <row r="678" spans="1:5">
      <c r="A678" s="28"/>
      <c r="B678" s="29"/>
      <c r="C678" s="28"/>
      <c r="D678" s="28"/>
      <c r="E678" s="29"/>
    </row>
  </sheetData>
  <mergeCells count="19">
    <mergeCell ref="A1:F1"/>
    <mergeCell ref="D54:D55"/>
    <mergeCell ref="D364:D367"/>
    <mergeCell ref="D388:D390"/>
    <mergeCell ref="D404:D406"/>
    <mergeCell ref="D407:D409"/>
    <mergeCell ref="D414:D417"/>
    <mergeCell ref="D441:D442"/>
    <mergeCell ref="D589:D590"/>
    <mergeCell ref="D641:D645"/>
    <mergeCell ref="E54:E55"/>
    <mergeCell ref="E364:E365"/>
    <mergeCell ref="E366:E367"/>
    <mergeCell ref="E388:E390"/>
    <mergeCell ref="E404:E406"/>
    <mergeCell ref="E407:E409"/>
    <mergeCell ref="E414:E417"/>
    <mergeCell ref="E441:E442"/>
    <mergeCell ref="E641:E645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32"/>
  <sheetViews>
    <sheetView topLeftCell="A17" workbookViewId="0">
      <selection activeCell="B26" sqref="B26:C29"/>
    </sheetView>
  </sheetViews>
  <sheetFormatPr defaultColWidth="9" defaultRowHeight="13.5" outlineLevelCol="4"/>
  <cols>
    <col min="2" max="2" width="15.5" customWidth="1"/>
    <col min="3" max="3" width="11.625" customWidth="1"/>
    <col min="4" max="4" width="11" customWidth="1"/>
    <col min="5" max="5" width="16" customWidth="1"/>
  </cols>
  <sheetData>
    <row r="1" ht="28" customHeight="1" spans="1:5">
      <c r="A1" s="1" t="s">
        <v>82</v>
      </c>
      <c r="B1" s="1"/>
      <c r="C1" s="1"/>
      <c r="D1" s="1"/>
      <c r="E1" s="1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86</v>
      </c>
      <c r="E2" s="2" t="s">
        <v>87</v>
      </c>
    </row>
    <row r="3" ht="20" customHeight="1" spans="1:5">
      <c r="A3" s="2">
        <v>1</v>
      </c>
      <c r="B3" s="2" t="s">
        <v>88</v>
      </c>
      <c r="C3" s="2" t="s">
        <v>89</v>
      </c>
      <c r="D3" s="2">
        <v>36</v>
      </c>
      <c r="E3" s="6" t="s">
        <v>90</v>
      </c>
    </row>
    <row r="4" ht="20" customHeight="1" spans="1:5">
      <c r="A4" s="2">
        <v>2</v>
      </c>
      <c r="B4" s="2" t="s">
        <v>91</v>
      </c>
      <c r="C4" s="2" t="s">
        <v>89</v>
      </c>
      <c r="D4" s="2">
        <v>13.3</v>
      </c>
      <c r="E4" s="6"/>
    </row>
    <row r="5" ht="20" customHeight="1" spans="1:5">
      <c r="A5" s="2">
        <v>3</v>
      </c>
      <c r="B5" s="2" t="s">
        <v>92</v>
      </c>
      <c r="C5" s="2" t="s">
        <v>89</v>
      </c>
      <c r="D5" s="2">
        <v>35</v>
      </c>
      <c r="E5" s="6"/>
    </row>
    <row r="6" ht="20" customHeight="1" spans="1:5">
      <c r="A6" s="2">
        <v>4</v>
      </c>
      <c r="B6" s="2" t="s">
        <v>93</v>
      </c>
      <c r="C6" s="2" t="s">
        <v>89</v>
      </c>
      <c r="D6" s="2">
        <v>73</v>
      </c>
      <c r="E6" s="6"/>
    </row>
    <row r="7" ht="20" customHeight="1" spans="1:5">
      <c r="A7" s="2">
        <v>5</v>
      </c>
      <c r="B7" s="2" t="s">
        <v>94</v>
      </c>
      <c r="C7" s="2" t="s">
        <v>89</v>
      </c>
      <c r="D7" s="2">
        <v>50</v>
      </c>
      <c r="E7" s="6"/>
    </row>
    <row r="8" ht="20" customHeight="1" spans="1:5">
      <c r="A8" s="2">
        <v>6</v>
      </c>
      <c r="B8" s="2" t="s">
        <v>95</v>
      </c>
      <c r="C8" s="2" t="s">
        <v>89</v>
      </c>
      <c r="D8" s="2">
        <v>26</v>
      </c>
      <c r="E8" s="6"/>
    </row>
    <row r="9" ht="20" customHeight="1" spans="1:5">
      <c r="A9" s="2">
        <v>7</v>
      </c>
      <c r="B9" s="2" t="s">
        <v>96</v>
      </c>
      <c r="C9" s="2" t="s">
        <v>97</v>
      </c>
      <c r="D9" s="2">
        <v>7</v>
      </c>
      <c r="E9" s="6"/>
    </row>
    <row r="10" ht="20" customHeight="1" spans="1:5">
      <c r="A10" s="2">
        <v>8</v>
      </c>
      <c r="B10" s="2" t="s">
        <v>98</v>
      </c>
      <c r="C10" s="2" t="s">
        <v>97</v>
      </c>
      <c r="D10" s="2">
        <v>23</v>
      </c>
      <c r="E10" s="6"/>
    </row>
    <row r="11" ht="20" customHeight="1" spans="1:5">
      <c r="A11" s="2">
        <v>9</v>
      </c>
      <c r="B11" s="2" t="s">
        <v>99</v>
      </c>
      <c r="C11" s="2" t="s">
        <v>97</v>
      </c>
      <c r="D11" s="2">
        <v>35</v>
      </c>
      <c r="E11" s="6"/>
    </row>
    <row r="12" ht="20" customHeight="1" spans="1:5">
      <c r="A12" s="2">
        <v>10</v>
      </c>
      <c r="B12" s="2" t="s">
        <v>100</v>
      </c>
      <c r="C12" s="2" t="s">
        <v>97</v>
      </c>
      <c r="D12" s="2">
        <v>248</v>
      </c>
      <c r="E12" s="6"/>
    </row>
    <row r="13" ht="20" customHeight="1" spans="1:5">
      <c r="A13" s="2">
        <v>11</v>
      </c>
      <c r="B13" s="2" t="s">
        <v>101</v>
      </c>
      <c r="C13" s="2" t="s">
        <v>97</v>
      </c>
      <c r="D13" s="2">
        <v>8</v>
      </c>
      <c r="E13" s="6"/>
    </row>
    <row r="14" ht="20" customHeight="1" spans="1:5">
      <c r="A14" s="2">
        <v>12</v>
      </c>
      <c r="B14" s="2" t="s">
        <v>102</v>
      </c>
      <c r="C14" s="2" t="s">
        <v>89</v>
      </c>
      <c r="D14" s="2">
        <v>8</v>
      </c>
      <c r="E14" s="6"/>
    </row>
    <row r="15" ht="20" customHeight="1" spans="1:5">
      <c r="A15" s="2">
        <v>13</v>
      </c>
      <c r="B15" s="2" t="s">
        <v>103</v>
      </c>
      <c r="C15" s="2" t="s">
        <v>89</v>
      </c>
      <c r="D15" s="2">
        <v>40</v>
      </c>
      <c r="E15" s="6"/>
    </row>
    <row r="16" ht="20" customHeight="1" spans="1:5">
      <c r="A16" s="2">
        <v>14</v>
      </c>
      <c r="B16" s="2" t="s">
        <v>104</v>
      </c>
      <c r="C16" s="2" t="s">
        <v>89</v>
      </c>
      <c r="D16" s="2">
        <v>56.7</v>
      </c>
      <c r="E16" s="6"/>
    </row>
    <row r="17" ht="20" customHeight="1" spans="1:5">
      <c r="A17" s="2">
        <v>15</v>
      </c>
      <c r="B17" s="2" t="s">
        <v>105</v>
      </c>
      <c r="C17" s="2" t="s">
        <v>89</v>
      </c>
      <c r="D17" s="2">
        <v>12.4</v>
      </c>
      <c r="E17" s="6"/>
    </row>
    <row r="18" ht="20" customHeight="1" spans="1:5">
      <c r="A18" s="2">
        <v>16</v>
      </c>
      <c r="B18" s="2" t="s">
        <v>106</v>
      </c>
      <c r="C18" s="2" t="s">
        <v>89</v>
      </c>
      <c r="D18" s="2">
        <v>47</v>
      </c>
      <c r="E18" s="6"/>
    </row>
    <row r="19" ht="20" customHeight="1" spans="1:5">
      <c r="A19" s="2">
        <v>17</v>
      </c>
      <c r="B19" s="2" t="s">
        <v>107</v>
      </c>
      <c r="C19" s="2" t="s">
        <v>97</v>
      </c>
      <c r="D19" s="2">
        <v>8</v>
      </c>
      <c r="E19" s="6"/>
    </row>
    <row r="20" ht="20" customHeight="1" spans="1:5">
      <c r="A20" s="2">
        <v>18</v>
      </c>
      <c r="B20" s="2" t="s">
        <v>108</v>
      </c>
      <c r="C20" s="2" t="s">
        <v>97</v>
      </c>
      <c r="D20" s="2">
        <v>23.6</v>
      </c>
      <c r="E20" s="6"/>
    </row>
    <row r="21" ht="20" customHeight="1" spans="1:5">
      <c r="A21" s="2">
        <v>19</v>
      </c>
      <c r="B21" s="2" t="s">
        <v>109</v>
      </c>
      <c r="C21" s="2" t="s">
        <v>97</v>
      </c>
      <c r="D21" s="2">
        <v>116.3</v>
      </c>
      <c r="E21" s="6"/>
    </row>
    <row r="22" ht="20" customHeight="1" spans="1:5">
      <c r="A22" s="2">
        <v>20</v>
      </c>
      <c r="B22" s="2" t="s">
        <v>110</v>
      </c>
      <c r="C22" s="2" t="s">
        <v>97</v>
      </c>
      <c r="D22" s="2">
        <v>41.4</v>
      </c>
      <c r="E22" s="6"/>
    </row>
    <row r="23" ht="20" customHeight="1" spans="1:5">
      <c r="A23" s="2">
        <v>21</v>
      </c>
      <c r="B23" s="2" t="s">
        <v>111</v>
      </c>
      <c r="C23" s="2"/>
      <c r="D23" s="2">
        <v>4332</v>
      </c>
      <c r="E23" s="2" t="s">
        <v>112</v>
      </c>
    </row>
    <row r="24" ht="20" customHeight="1" spans="1:5">
      <c r="A24" s="2">
        <v>22</v>
      </c>
      <c r="B24" s="2" t="s">
        <v>113</v>
      </c>
      <c r="C24" s="2" t="s">
        <v>114</v>
      </c>
      <c r="D24" s="2">
        <v>6541</v>
      </c>
      <c r="E24" s="2" t="s">
        <v>115</v>
      </c>
    </row>
    <row r="25" ht="20" customHeight="1" spans="1:5">
      <c r="A25" s="2">
        <v>23</v>
      </c>
      <c r="B25" s="2" t="s">
        <v>116</v>
      </c>
      <c r="C25" s="2" t="s">
        <v>117</v>
      </c>
      <c r="D25" s="2">
        <v>1522</v>
      </c>
      <c r="E25" s="6" t="s">
        <v>118</v>
      </c>
    </row>
    <row r="26" ht="20" customHeight="1" spans="1:5">
      <c r="A26" s="2">
        <v>24</v>
      </c>
      <c r="B26" s="2" t="s">
        <v>119</v>
      </c>
      <c r="C26" s="2" t="s">
        <v>120</v>
      </c>
      <c r="D26" s="2">
        <v>46.6</v>
      </c>
      <c r="E26" s="6"/>
    </row>
    <row r="27" ht="20" customHeight="1" spans="1:5">
      <c r="A27" s="2">
        <v>25</v>
      </c>
      <c r="B27" s="2" t="s">
        <v>121</v>
      </c>
      <c r="C27" s="2" t="s">
        <v>120</v>
      </c>
      <c r="D27" s="2">
        <v>42.6</v>
      </c>
      <c r="E27" s="6"/>
    </row>
    <row r="28" ht="20" customHeight="1" spans="1:5">
      <c r="A28" s="2">
        <v>26</v>
      </c>
      <c r="B28" s="2" t="s">
        <v>122</v>
      </c>
      <c r="C28" s="2" t="s">
        <v>120</v>
      </c>
      <c r="D28" s="2">
        <v>39.6</v>
      </c>
      <c r="E28" s="6"/>
    </row>
    <row r="29" ht="20" customHeight="1" spans="1:5">
      <c r="A29" s="2">
        <v>27</v>
      </c>
      <c r="B29" s="2" t="s">
        <v>123</v>
      </c>
      <c r="C29" s="2" t="s">
        <v>120</v>
      </c>
      <c r="D29" s="2">
        <v>40.6</v>
      </c>
      <c r="E29" s="6"/>
    </row>
    <row r="30" ht="20" customHeight="1" spans="1:5">
      <c r="A30" s="2">
        <v>28</v>
      </c>
      <c r="B30" s="2" t="s">
        <v>124</v>
      </c>
      <c r="C30" s="2" t="s">
        <v>125</v>
      </c>
      <c r="D30" s="2">
        <v>111</v>
      </c>
      <c r="E30" s="6"/>
    </row>
    <row r="31" ht="20" customHeight="1" spans="1:5">
      <c r="A31" s="2">
        <v>29</v>
      </c>
      <c r="B31" s="2" t="s">
        <v>126</v>
      </c>
      <c r="C31" s="2" t="s">
        <v>127</v>
      </c>
      <c r="D31" s="2">
        <v>62.7</v>
      </c>
      <c r="E31" s="6"/>
    </row>
    <row r="32" ht="20" customHeight="1" spans="1:5">
      <c r="A32" s="2" t="s">
        <v>128</v>
      </c>
      <c r="B32" s="2"/>
      <c r="C32" s="2"/>
      <c r="D32" s="2">
        <f>SUM(D3:D31)</f>
        <v>13645.8</v>
      </c>
      <c r="E32" s="2"/>
    </row>
  </sheetData>
  <mergeCells count="3">
    <mergeCell ref="A1:E1"/>
    <mergeCell ref="E3:E22"/>
    <mergeCell ref="E25:E3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G10" sqref="G10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129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86</v>
      </c>
      <c r="E2" s="2" t="s">
        <v>87</v>
      </c>
    </row>
    <row r="3" ht="20" customHeight="1" spans="1:5">
      <c r="A3" s="2">
        <v>1</v>
      </c>
      <c r="B3" s="2" t="s">
        <v>113</v>
      </c>
      <c r="C3" s="2" t="s">
        <v>114</v>
      </c>
      <c r="D3" s="2">
        <v>1409</v>
      </c>
      <c r="E3" s="2" t="s">
        <v>115</v>
      </c>
    </row>
    <row r="4" ht="20" customHeight="1" spans="1:5">
      <c r="A4" s="2" t="s">
        <v>128</v>
      </c>
      <c r="B4" s="2"/>
      <c r="C4" s="2"/>
      <c r="D4" s="2">
        <f>D3</f>
        <v>1409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E3" sqref="E3:E4"/>
    </sheetView>
  </sheetViews>
  <sheetFormatPr defaultColWidth="9" defaultRowHeight="13.5" outlineLevelRow="4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130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86</v>
      </c>
      <c r="E2" s="2" t="s">
        <v>87</v>
      </c>
    </row>
    <row r="3" ht="20" customHeight="1" spans="1:5">
      <c r="A3" s="2">
        <v>1</v>
      </c>
      <c r="B3" s="2" t="s">
        <v>131</v>
      </c>
      <c r="C3" s="2" t="s">
        <v>114</v>
      </c>
      <c r="D3" s="2">
        <v>1108</v>
      </c>
      <c r="E3" s="4" t="s">
        <v>115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1409</v>
      </c>
      <c r="E4" s="5"/>
    </row>
    <row r="5" ht="20" customHeight="1" spans="1:5">
      <c r="A5" s="2" t="s">
        <v>128</v>
      </c>
      <c r="B5" s="2"/>
      <c r="C5" s="2"/>
      <c r="D5" s="2">
        <f>SUM(D3:D4)</f>
        <v>2517</v>
      </c>
      <c r="E5" s="2"/>
    </row>
  </sheetData>
  <mergeCells count="2">
    <mergeCell ref="A1:E1"/>
    <mergeCell ref="E3:E4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7"/>
  <sheetViews>
    <sheetView workbookViewId="0">
      <selection activeCell="E3" sqref="E3:E16"/>
    </sheetView>
  </sheetViews>
  <sheetFormatPr defaultColWidth="9" defaultRowHeight="13.5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132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88</v>
      </c>
      <c r="C3" s="2" t="s">
        <v>89</v>
      </c>
      <c r="D3" s="2">
        <v>36</v>
      </c>
      <c r="E3" s="6" t="s">
        <v>90</v>
      </c>
    </row>
    <row r="4" ht="20" customHeight="1" spans="1:5">
      <c r="A4" s="2">
        <v>3</v>
      </c>
      <c r="B4" s="2" t="s">
        <v>92</v>
      </c>
      <c r="C4" s="2" t="s">
        <v>89</v>
      </c>
      <c r="D4" s="2">
        <v>35</v>
      </c>
      <c r="E4" s="6"/>
    </row>
    <row r="5" ht="20" customHeight="1" spans="1:5">
      <c r="A5" s="2">
        <v>4</v>
      </c>
      <c r="B5" s="2" t="s">
        <v>93</v>
      </c>
      <c r="C5" s="2" t="s">
        <v>89</v>
      </c>
      <c r="D5" s="2">
        <v>73</v>
      </c>
      <c r="E5" s="6"/>
    </row>
    <row r="6" ht="20" customHeight="1" spans="1:5">
      <c r="A6" s="2">
        <v>6</v>
      </c>
      <c r="B6" s="2" t="s">
        <v>95</v>
      </c>
      <c r="C6" s="2" t="s">
        <v>89</v>
      </c>
      <c r="D6" s="2">
        <v>26</v>
      </c>
      <c r="E6" s="6"/>
    </row>
    <row r="7" ht="20" customHeight="1" spans="1:5">
      <c r="A7" s="2">
        <v>7</v>
      </c>
      <c r="B7" s="2" t="s">
        <v>96</v>
      </c>
      <c r="C7" s="2" t="s">
        <v>97</v>
      </c>
      <c r="D7" s="2">
        <v>7</v>
      </c>
      <c r="E7" s="6"/>
    </row>
    <row r="8" ht="20" customHeight="1" spans="1:5">
      <c r="A8" s="2">
        <v>8</v>
      </c>
      <c r="B8" s="2" t="s">
        <v>98</v>
      </c>
      <c r="C8" s="2" t="s">
        <v>97</v>
      </c>
      <c r="D8" s="2">
        <v>23</v>
      </c>
      <c r="E8" s="6"/>
    </row>
    <row r="9" ht="20" customHeight="1" spans="1:5">
      <c r="A9" s="2">
        <v>11</v>
      </c>
      <c r="B9" s="2" t="s">
        <v>101</v>
      </c>
      <c r="C9" s="2" t="s">
        <v>97</v>
      </c>
      <c r="D9" s="2">
        <v>8</v>
      </c>
      <c r="E9" s="6"/>
    </row>
    <row r="10" ht="20" customHeight="1" spans="1:5">
      <c r="A10" s="2">
        <v>12</v>
      </c>
      <c r="B10" s="2" t="s">
        <v>102</v>
      </c>
      <c r="C10" s="2" t="s">
        <v>89</v>
      </c>
      <c r="D10" s="2">
        <v>8</v>
      </c>
      <c r="E10" s="6"/>
    </row>
    <row r="11" ht="20" customHeight="1" spans="1:5">
      <c r="A11" s="2">
        <v>13</v>
      </c>
      <c r="B11" s="2" t="s">
        <v>103</v>
      </c>
      <c r="C11" s="2" t="s">
        <v>89</v>
      </c>
      <c r="D11" s="2">
        <v>40</v>
      </c>
      <c r="E11" s="6"/>
    </row>
    <row r="12" ht="20" customHeight="1" spans="1:5">
      <c r="A12" s="2">
        <v>15</v>
      </c>
      <c r="B12" s="2" t="s">
        <v>105</v>
      </c>
      <c r="C12" s="2" t="s">
        <v>89</v>
      </c>
      <c r="D12" s="2">
        <v>12</v>
      </c>
      <c r="E12" s="6"/>
    </row>
    <row r="13" ht="20" customHeight="1" spans="1:5">
      <c r="A13" s="2">
        <v>16</v>
      </c>
      <c r="B13" s="2" t="s">
        <v>106</v>
      </c>
      <c r="C13" s="2" t="s">
        <v>89</v>
      </c>
      <c r="D13" s="2">
        <v>47</v>
      </c>
      <c r="E13" s="6"/>
    </row>
    <row r="14" ht="20" customHeight="1" spans="1:5">
      <c r="A14" s="2">
        <v>17</v>
      </c>
      <c r="B14" s="2" t="s">
        <v>107</v>
      </c>
      <c r="C14" s="2" t="s">
        <v>97</v>
      </c>
      <c r="D14" s="2">
        <v>8</v>
      </c>
      <c r="E14" s="6"/>
    </row>
    <row r="15" ht="20" customHeight="1" spans="1:5">
      <c r="A15" s="2">
        <v>18</v>
      </c>
      <c r="B15" s="2" t="s">
        <v>108</v>
      </c>
      <c r="C15" s="2" t="s">
        <v>97</v>
      </c>
      <c r="D15" s="2">
        <v>24</v>
      </c>
      <c r="E15" s="6"/>
    </row>
    <row r="16" ht="20" customHeight="1" spans="1:5">
      <c r="A16" s="2">
        <v>20</v>
      </c>
      <c r="B16" s="2" t="s">
        <v>110</v>
      </c>
      <c r="C16" s="2" t="s">
        <v>97</v>
      </c>
      <c r="D16" s="2">
        <v>41</v>
      </c>
      <c r="E16" s="6"/>
    </row>
    <row r="17" ht="20" customHeight="1" spans="1:5">
      <c r="A17" s="2" t="s">
        <v>128</v>
      </c>
      <c r="B17" s="2"/>
      <c r="C17" s="2"/>
      <c r="D17" s="2">
        <f>SUM(D3:D16)</f>
        <v>388</v>
      </c>
      <c r="E17" s="2"/>
    </row>
  </sheetData>
  <mergeCells count="2">
    <mergeCell ref="A1:E1"/>
    <mergeCell ref="E3:E16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D5" sqref="D5"/>
    </sheetView>
  </sheetViews>
  <sheetFormatPr defaultColWidth="9" defaultRowHeight="13.5" outlineLevelRow="4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134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131</v>
      </c>
      <c r="C3" s="2" t="s">
        <v>114</v>
      </c>
      <c r="D3" s="2">
        <v>20</v>
      </c>
      <c r="E3" s="4" t="s">
        <v>115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62</v>
      </c>
      <c r="E4" s="5"/>
    </row>
    <row r="5" ht="20" customHeight="1" spans="1:5">
      <c r="A5" s="2" t="s">
        <v>128</v>
      </c>
      <c r="B5" s="2"/>
      <c r="C5" s="2"/>
      <c r="D5" s="2">
        <f>SUM(D3:D4)</f>
        <v>82</v>
      </c>
      <c r="E5" s="2"/>
    </row>
  </sheetData>
  <mergeCells count="2">
    <mergeCell ref="A1:E1"/>
    <mergeCell ref="E3:E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D5" sqref="D5"/>
    </sheetView>
  </sheetViews>
  <sheetFormatPr defaultColWidth="9" defaultRowHeight="13.5" outlineLevelRow="4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135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131</v>
      </c>
      <c r="C3" s="2" t="s">
        <v>114</v>
      </c>
      <c r="D3" s="2">
        <v>22</v>
      </c>
      <c r="E3" s="4" t="s">
        <v>115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101</v>
      </c>
      <c r="E4" s="5"/>
    </row>
    <row r="5" ht="20" customHeight="1" spans="1:5">
      <c r="A5" s="2" t="s">
        <v>128</v>
      </c>
      <c r="B5" s="2"/>
      <c r="C5" s="2"/>
      <c r="D5" s="2">
        <f>SUM(D3:D4)</f>
        <v>123</v>
      </c>
      <c r="E5" s="2"/>
    </row>
  </sheetData>
  <mergeCells count="2">
    <mergeCell ref="A1:E1"/>
    <mergeCell ref="E3:E4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1"/>
  <sheetViews>
    <sheetView workbookViewId="0">
      <selection activeCell="E9" sqref="E9:E10"/>
    </sheetView>
  </sheetViews>
  <sheetFormatPr defaultColWidth="9" defaultRowHeight="13.5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136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91</v>
      </c>
      <c r="C3" s="2" t="s">
        <v>89</v>
      </c>
      <c r="D3" s="2">
        <v>13</v>
      </c>
      <c r="E3" s="4" t="s">
        <v>90</v>
      </c>
    </row>
    <row r="4" ht="20" customHeight="1" spans="1:5">
      <c r="A4" s="2">
        <v>2</v>
      </c>
      <c r="B4" s="2" t="s">
        <v>94</v>
      </c>
      <c r="C4" s="2" t="s">
        <v>89</v>
      </c>
      <c r="D4" s="2">
        <v>50</v>
      </c>
      <c r="E4" s="7"/>
    </row>
    <row r="5" ht="20" customHeight="1" spans="1:5">
      <c r="A5" s="2">
        <v>3</v>
      </c>
      <c r="B5" s="2" t="s">
        <v>99</v>
      </c>
      <c r="C5" s="2" t="s">
        <v>97</v>
      </c>
      <c r="D5" s="2">
        <v>35</v>
      </c>
      <c r="E5" s="7"/>
    </row>
    <row r="6" ht="20" customHeight="1" spans="1:5">
      <c r="A6" s="2">
        <v>4</v>
      </c>
      <c r="B6" s="2" t="s">
        <v>100</v>
      </c>
      <c r="C6" s="2" t="s">
        <v>97</v>
      </c>
      <c r="D6" s="2">
        <v>248</v>
      </c>
      <c r="E6" s="7"/>
    </row>
    <row r="7" ht="20" customHeight="1" spans="1:5">
      <c r="A7" s="2">
        <v>5</v>
      </c>
      <c r="B7" s="2" t="s">
        <v>104</v>
      </c>
      <c r="C7" s="2" t="s">
        <v>89</v>
      </c>
      <c r="D7" s="2">
        <v>57</v>
      </c>
      <c r="E7" s="7"/>
    </row>
    <row r="8" ht="20" customHeight="1" spans="1:5">
      <c r="A8" s="2">
        <v>6</v>
      </c>
      <c r="B8" s="2" t="s">
        <v>109</v>
      </c>
      <c r="C8" s="2" t="s">
        <v>97</v>
      </c>
      <c r="D8" s="2">
        <v>116</v>
      </c>
      <c r="E8" s="7"/>
    </row>
    <row r="9" ht="20" customHeight="1" spans="1:5">
      <c r="A9" s="2">
        <v>7</v>
      </c>
      <c r="B9" s="2" t="s">
        <v>131</v>
      </c>
      <c r="C9" s="2" t="s">
        <v>114</v>
      </c>
      <c r="D9" s="2">
        <v>22</v>
      </c>
      <c r="E9" s="4" t="s">
        <v>115</v>
      </c>
    </row>
    <row r="10" ht="20" customHeight="1" spans="1:5">
      <c r="A10" s="2">
        <v>8</v>
      </c>
      <c r="B10" s="2" t="s">
        <v>113</v>
      </c>
      <c r="C10" s="2" t="s">
        <v>114</v>
      </c>
      <c r="D10" s="2">
        <v>18</v>
      </c>
      <c r="E10" s="5"/>
    </row>
    <row r="11" ht="20" customHeight="1" spans="1:5">
      <c r="A11" s="2" t="s">
        <v>128</v>
      </c>
      <c r="B11" s="2"/>
      <c r="C11" s="2"/>
      <c r="D11" s="2">
        <f>SUM(D3:D10)</f>
        <v>559</v>
      </c>
      <c r="E11" s="2"/>
    </row>
  </sheetData>
  <mergeCells count="3">
    <mergeCell ref="A1:E1"/>
    <mergeCell ref="E3:E8"/>
    <mergeCell ref="E9:E10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I4" sqref="I4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137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113</v>
      </c>
      <c r="C3" s="2" t="s">
        <v>114</v>
      </c>
      <c r="D3" s="2">
        <v>80</v>
      </c>
      <c r="E3" s="5" t="s">
        <v>115</v>
      </c>
    </row>
    <row r="4" ht="20" customHeight="1" spans="1:5">
      <c r="A4" s="2" t="s">
        <v>128</v>
      </c>
      <c r="B4" s="2"/>
      <c r="C4" s="2"/>
      <c r="D4" s="2">
        <f>SUM(D3:D3)</f>
        <v>80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B3" sqref="B3:C3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138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139</v>
      </c>
      <c r="D3" s="2">
        <v>100</v>
      </c>
      <c r="E3" s="5" t="s">
        <v>112</v>
      </c>
    </row>
    <row r="4" ht="20" customHeight="1" spans="1:5">
      <c r="A4" s="2" t="s">
        <v>128</v>
      </c>
      <c r="B4" s="2"/>
      <c r="C4" s="2"/>
      <c r="D4" s="2">
        <f>SUM(D3:D3)</f>
        <v>100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7"/>
  <sheetViews>
    <sheetView workbookViewId="0">
      <selection activeCell="B3" sqref="B3:C6"/>
    </sheetView>
  </sheetViews>
  <sheetFormatPr defaultColWidth="9" defaultRowHeight="13.5" outlineLevelRow="6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140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119</v>
      </c>
      <c r="C3" s="2" t="s">
        <v>120</v>
      </c>
      <c r="D3" s="2">
        <v>31</v>
      </c>
      <c r="E3" s="4" t="s">
        <v>118</v>
      </c>
    </row>
    <row r="4" ht="20" customHeight="1" spans="1:5">
      <c r="A4" s="2">
        <v>2</v>
      </c>
      <c r="B4" s="2" t="s">
        <v>121</v>
      </c>
      <c r="C4" s="2" t="s">
        <v>120</v>
      </c>
      <c r="D4" s="2">
        <v>29</v>
      </c>
      <c r="E4" s="7"/>
    </row>
    <row r="5" ht="20" customHeight="1" spans="1:5">
      <c r="A5" s="2">
        <v>3</v>
      </c>
      <c r="B5" s="2" t="s">
        <v>122</v>
      </c>
      <c r="C5" s="2" t="s">
        <v>120</v>
      </c>
      <c r="D5" s="2">
        <v>27</v>
      </c>
      <c r="E5" s="7"/>
    </row>
    <row r="6" ht="20" customHeight="1" spans="1:5">
      <c r="A6" s="2">
        <v>4</v>
      </c>
      <c r="B6" s="2" t="s">
        <v>123</v>
      </c>
      <c r="C6" s="2" t="s">
        <v>120</v>
      </c>
      <c r="D6" s="2">
        <v>27</v>
      </c>
      <c r="E6" s="5"/>
    </row>
    <row r="7" ht="20" customHeight="1" spans="1:5">
      <c r="A7" s="2" t="s">
        <v>128</v>
      </c>
      <c r="B7" s="2"/>
      <c r="C7" s="2"/>
      <c r="D7" s="2">
        <f>SUM(D3:D6)</f>
        <v>114</v>
      </c>
      <c r="E7" s="2"/>
    </row>
  </sheetData>
  <mergeCells count="2">
    <mergeCell ref="A1:E1"/>
    <mergeCell ref="E3:E6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E4" sqref="E4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141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133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139</v>
      </c>
      <c r="D3" s="2">
        <v>69</v>
      </c>
      <c r="E3" s="4" t="s">
        <v>112</v>
      </c>
    </row>
    <row r="4" ht="20" customHeight="1" spans="1:5">
      <c r="A4" s="2" t="s">
        <v>128</v>
      </c>
      <c r="B4" s="2"/>
      <c r="C4" s="2"/>
      <c r="D4" s="2">
        <f>SUM(D3:D3)</f>
        <v>69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E4" sqref="E4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142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139</v>
      </c>
      <c r="D3" s="2">
        <v>800</v>
      </c>
      <c r="E3" s="4" t="s">
        <v>112</v>
      </c>
    </row>
    <row r="4" ht="20" customHeight="1" spans="1:5">
      <c r="A4" s="2" t="s">
        <v>128</v>
      </c>
      <c r="B4" s="2"/>
      <c r="C4" s="2"/>
      <c r="D4" s="2">
        <f>SUM(D3:D3)</f>
        <v>800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D4" sqref="D4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144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139</v>
      </c>
      <c r="D3" s="2">
        <v>5313</v>
      </c>
      <c r="E3" s="4" t="s">
        <v>112</v>
      </c>
    </row>
    <row r="4" ht="20" customHeight="1" spans="1:5">
      <c r="A4" s="2" t="s">
        <v>128</v>
      </c>
      <c r="B4" s="2"/>
      <c r="C4" s="2"/>
      <c r="D4" s="2">
        <f>SUM(D3:D3)</f>
        <v>5313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D3" sqref="D3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145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113</v>
      </c>
      <c r="C3" s="2" t="s">
        <v>114</v>
      </c>
      <c r="D3" s="2">
        <v>529</v>
      </c>
      <c r="E3" s="5" t="s">
        <v>115</v>
      </c>
    </row>
    <row r="4" ht="20" customHeight="1" spans="1:5">
      <c r="A4" s="2" t="s">
        <v>128</v>
      </c>
      <c r="B4" s="2"/>
      <c r="C4" s="2"/>
      <c r="D4" s="2">
        <f>SUM(D3:D3)</f>
        <v>529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E3" sqref="E3:E4"/>
    </sheetView>
  </sheetViews>
  <sheetFormatPr defaultColWidth="9" defaultRowHeight="13.5" outlineLevelRow="4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146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147</v>
      </c>
      <c r="D3" s="2">
        <v>1047</v>
      </c>
      <c r="E3" s="6" t="s">
        <v>112</v>
      </c>
    </row>
    <row r="4" ht="20" customHeight="1" spans="1:5">
      <c r="A4" s="2">
        <v>8</v>
      </c>
      <c r="B4" s="2" t="s">
        <v>113</v>
      </c>
      <c r="C4" s="2" t="s">
        <v>114</v>
      </c>
      <c r="D4" s="2">
        <v>1047</v>
      </c>
      <c r="E4" s="2" t="s">
        <v>115</v>
      </c>
    </row>
    <row r="5" ht="20" customHeight="1" spans="1:5">
      <c r="A5" s="2" t="s">
        <v>128</v>
      </c>
      <c r="B5" s="2"/>
      <c r="C5" s="2"/>
      <c r="D5" s="2">
        <f>SUM(D3:D4)</f>
        <v>2094</v>
      </c>
      <c r="E5" s="2"/>
    </row>
  </sheetData>
  <mergeCells count="1">
    <mergeCell ref="A1:E1"/>
  </mergeCell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D5" sqref="D5"/>
    </sheetView>
  </sheetViews>
  <sheetFormatPr defaultColWidth="9" defaultRowHeight="13.5" outlineLevelRow="4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148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131</v>
      </c>
      <c r="C3" s="2" t="s">
        <v>114</v>
      </c>
      <c r="D3" s="2">
        <v>434</v>
      </c>
      <c r="E3" s="4" t="s">
        <v>115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507</v>
      </c>
      <c r="E4" s="5"/>
    </row>
    <row r="5" ht="20" customHeight="1" spans="1:5">
      <c r="A5" s="2" t="s">
        <v>128</v>
      </c>
      <c r="B5" s="2"/>
      <c r="C5" s="2"/>
      <c r="D5" s="2">
        <f>SUM(D3:D4)</f>
        <v>941</v>
      </c>
      <c r="E5" s="2"/>
    </row>
  </sheetData>
  <mergeCells count="2">
    <mergeCell ref="A1:E1"/>
    <mergeCell ref="E3:E4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D5" sqref="D5"/>
    </sheetView>
  </sheetViews>
  <sheetFormatPr defaultColWidth="9" defaultRowHeight="13.5" outlineLevelRow="4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149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131</v>
      </c>
      <c r="C3" s="2" t="s">
        <v>114</v>
      </c>
      <c r="D3" s="2">
        <v>522</v>
      </c>
      <c r="E3" s="4" t="s">
        <v>115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496</v>
      </c>
      <c r="E4" s="5"/>
    </row>
    <row r="5" ht="20" customHeight="1" spans="1:5">
      <c r="A5" s="2" t="s">
        <v>128</v>
      </c>
      <c r="B5" s="2"/>
      <c r="C5" s="2"/>
      <c r="D5" s="2">
        <f>SUM(D3:D4)</f>
        <v>1018</v>
      </c>
      <c r="E5" s="2"/>
    </row>
  </sheetData>
  <mergeCells count="2">
    <mergeCell ref="A1:E1"/>
    <mergeCell ref="E3:E4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7"/>
  <sheetViews>
    <sheetView workbookViewId="0">
      <selection activeCell="D8" sqref="D8"/>
    </sheetView>
  </sheetViews>
  <sheetFormatPr defaultColWidth="9" defaultRowHeight="13.5" outlineLevelRow="6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150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131</v>
      </c>
      <c r="C3" s="2" t="s">
        <v>114</v>
      </c>
      <c r="D3" s="2">
        <v>284</v>
      </c>
      <c r="E3" s="4" t="s">
        <v>115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1212</v>
      </c>
      <c r="E4" s="5"/>
    </row>
    <row r="5" ht="20" customHeight="1" spans="1:5">
      <c r="A5" s="2">
        <v>3</v>
      </c>
      <c r="B5" s="2" t="s">
        <v>124</v>
      </c>
      <c r="C5" s="2" t="s">
        <v>125</v>
      </c>
      <c r="D5" s="2">
        <v>370</v>
      </c>
      <c r="E5" s="4" t="s">
        <v>118</v>
      </c>
    </row>
    <row r="6" ht="20" customHeight="1" spans="1:5">
      <c r="A6" s="2">
        <v>4</v>
      </c>
      <c r="B6" s="2" t="s">
        <v>126</v>
      </c>
      <c r="C6" s="2" t="s">
        <v>127</v>
      </c>
      <c r="D6" s="2">
        <v>209</v>
      </c>
      <c r="E6" s="5"/>
    </row>
    <row r="7" ht="20" customHeight="1" spans="1:5">
      <c r="A7" s="2" t="s">
        <v>128</v>
      </c>
      <c r="B7" s="2"/>
      <c r="C7" s="2"/>
      <c r="D7" s="2">
        <f>SUM(D3:D6)</f>
        <v>2075</v>
      </c>
      <c r="E7" s="2"/>
    </row>
  </sheetData>
  <mergeCells count="3">
    <mergeCell ref="A1:E1"/>
    <mergeCell ref="E3:E4"/>
    <mergeCell ref="E5:E6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E4" sqref="E4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151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147</v>
      </c>
      <c r="D3" s="2">
        <v>307</v>
      </c>
      <c r="E3" s="4" t="s">
        <v>112</v>
      </c>
    </row>
    <row r="4" ht="20" customHeight="1" spans="1:5">
      <c r="A4" s="2" t="s">
        <v>128</v>
      </c>
      <c r="B4" s="2"/>
      <c r="C4" s="2"/>
      <c r="D4" s="2">
        <f>SUM(D3:D3)</f>
        <v>307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7"/>
  <sheetViews>
    <sheetView workbookViewId="0">
      <selection activeCell="E3" sqref="E3:E6"/>
    </sheetView>
  </sheetViews>
  <sheetFormatPr defaultColWidth="9" defaultRowHeight="13.5" outlineLevelRow="6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152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119</v>
      </c>
      <c r="C3" s="2" t="s">
        <v>120</v>
      </c>
      <c r="D3" s="2">
        <v>71</v>
      </c>
      <c r="E3" s="4" t="s">
        <v>118</v>
      </c>
    </row>
    <row r="4" ht="20" customHeight="1" spans="1:5">
      <c r="A4" s="2">
        <v>2</v>
      </c>
      <c r="B4" s="2" t="s">
        <v>121</v>
      </c>
      <c r="C4" s="2" t="s">
        <v>120</v>
      </c>
      <c r="D4" s="2">
        <v>65</v>
      </c>
      <c r="E4" s="4" t="s">
        <v>118</v>
      </c>
    </row>
    <row r="5" ht="20" customHeight="1" spans="1:5">
      <c r="A5" s="2">
        <v>3</v>
      </c>
      <c r="B5" s="2" t="s">
        <v>122</v>
      </c>
      <c r="C5" s="2" t="s">
        <v>120</v>
      </c>
      <c r="D5" s="2">
        <v>60</v>
      </c>
      <c r="E5" s="4" t="s">
        <v>118</v>
      </c>
    </row>
    <row r="6" ht="20" customHeight="1" spans="1:5">
      <c r="A6" s="2">
        <v>4</v>
      </c>
      <c r="B6" s="2" t="s">
        <v>123</v>
      </c>
      <c r="C6" s="2" t="s">
        <v>120</v>
      </c>
      <c r="D6" s="2">
        <v>62</v>
      </c>
      <c r="E6" s="4" t="s">
        <v>118</v>
      </c>
    </row>
    <row r="7" ht="20" customHeight="1" spans="1:5">
      <c r="A7" s="2" t="s">
        <v>128</v>
      </c>
      <c r="B7" s="2"/>
      <c r="C7" s="2"/>
      <c r="D7" s="2">
        <f>SUM(D3:D6)</f>
        <v>258</v>
      </c>
      <c r="E7" s="2"/>
    </row>
  </sheetData>
  <mergeCells count="1">
    <mergeCell ref="A1:E1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E4" sqref="E4"/>
    </sheetView>
  </sheetViews>
  <sheetFormatPr defaultColWidth="9" defaultRowHeight="13.5" outlineLevelRow="3" outlineLevelCol="4"/>
  <cols>
    <col min="2" max="2" width="15.625" customWidth="1"/>
    <col min="3" max="3" width="11" customWidth="1"/>
    <col min="5" max="5" width="15.75" customWidth="1"/>
  </cols>
  <sheetData>
    <row r="1" ht="27" customHeight="1" spans="1:5">
      <c r="A1" s="3" t="s">
        <v>153</v>
      </c>
      <c r="B1" s="3"/>
      <c r="C1" s="3"/>
      <c r="D1" s="3"/>
      <c r="E1" s="3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143</v>
      </c>
      <c r="E2" s="2" t="s">
        <v>87</v>
      </c>
    </row>
    <row r="3" ht="20" customHeight="1" spans="1:5">
      <c r="A3" s="2">
        <v>1</v>
      </c>
      <c r="B3" s="2" t="s">
        <v>113</v>
      </c>
      <c r="C3" s="2" t="s">
        <v>114</v>
      </c>
      <c r="D3" s="2">
        <v>1409</v>
      </c>
      <c r="E3" s="4" t="s">
        <v>115</v>
      </c>
    </row>
    <row r="4" ht="20" customHeight="1" spans="1:5">
      <c r="A4" s="2" t="s">
        <v>128</v>
      </c>
      <c r="B4" s="2"/>
      <c r="C4" s="2"/>
      <c r="D4" s="2">
        <f>SUM(D3:D3)</f>
        <v>1409</v>
      </c>
      <c r="E4" s="2"/>
    </row>
  </sheetData>
  <mergeCells count="1">
    <mergeCell ref="A1:E1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C16" sqref="C16"/>
    </sheetView>
  </sheetViews>
  <sheetFormatPr defaultColWidth="9" defaultRowHeight="13.5" outlineLevelRow="4" outlineLevelCol="4"/>
  <cols>
    <col min="2" max="2" width="15.5" customWidth="1"/>
    <col min="3" max="3" width="11.625" customWidth="1"/>
    <col min="4" max="4" width="11" customWidth="1"/>
    <col min="5" max="5" width="16" customWidth="1"/>
  </cols>
  <sheetData>
    <row r="1" ht="28" customHeight="1" spans="1:5">
      <c r="A1" s="1" t="s">
        <v>154</v>
      </c>
      <c r="B1" s="1"/>
      <c r="C1" s="1"/>
      <c r="D1" s="1"/>
      <c r="E1" s="1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86</v>
      </c>
      <c r="E2" s="2" t="s">
        <v>87</v>
      </c>
    </row>
    <row r="3" ht="20" customHeight="1" spans="1:5">
      <c r="A3" s="2">
        <v>1</v>
      </c>
      <c r="B3" s="2" t="s">
        <v>111</v>
      </c>
      <c r="C3" s="2" t="s">
        <v>147</v>
      </c>
      <c r="D3" s="2">
        <v>7220</v>
      </c>
      <c r="E3" s="2" t="s">
        <v>112</v>
      </c>
    </row>
    <row r="4" ht="20" customHeight="1" spans="1:5">
      <c r="A4" s="2">
        <v>2</v>
      </c>
      <c r="B4" s="2" t="s">
        <v>113</v>
      </c>
      <c r="C4" s="2" t="s">
        <v>114</v>
      </c>
      <c r="D4" s="2">
        <v>7548</v>
      </c>
      <c r="E4" s="2" t="s">
        <v>115</v>
      </c>
    </row>
    <row r="5" ht="20" customHeight="1" spans="1:5">
      <c r="A5" s="2" t="s">
        <v>128</v>
      </c>
      <c r="B5" s="2"/>
      <c r="C5" s="2"/>
      <c r="D5" s="2">
        <f>SUM(D3:D4)</f>
        <v>14768</v>
      </c>
      <c r="E5" s="2"/>
    </row>
  </sheetData>
  <mergeCells count="1">
    <mergeCell ref="A1:E1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"/>
  <sheetViews>
    <sheetView workbookViewId="0">
      <selection activeCell="E5" sqref="E5"/>
    </sheetView>
  </sheetViews>
  <sheetFormatPr defaultColWidth="9" defaultRowHeight="13.5" outlineLevelRow="4" outlineLevelCol="4"/>
  <cols>
    <col min="2" max="2" width="15.5" customWidth="1"/>
    <col min="3" max="3" width="11.625" customWidth="1"/>
    <col min="4" max="4" width="11" customWidth="1"/>
    <col min="5" max="5" width="16" customWidth="1"/>
  </cols>
  <sheetData>
    <row r="1" ht="28" customHeight="1" spans="1:5">
      <c r="A1" s="1" t="s">
        <v>155</v>
      </c>
      <c r="B1" s="1"/>
      <c r="C1" s="1"/>
      <c r="D1" s="1"/>
      <c r="E1" s="1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156</v>
      </c>
      <c r="E2" s="2" t="s">
        <v>87</v>
      </c>
    </row>
    <row r="3" ht="20" customHeight="1" spans="1:5">
      <c r="A3" s="2">
        <v>1</v>
      </c>
      <c r="B3" s="2" t="s">
        <v>157</v>
      </c>
      <c r="C3" s="2" t="s">
        <v>158</v>
      </c>
      <c r="D3" s="2">
        <f>32*2</f>
        <v>64</v>
      </c>
      <c r="E3" s="2" t="s">
        <v>159</v>
      </c>
    </row>
    <row r="4" ht="20" customHeight="1" spans="1:5">
      <c r="A4" s="2">
        <v>2</v>
      </c>
      <c r="B4" s="2" t="s">
        <v>160</v>
      </c>
      <c r="C4" s="2" t="s">
        <v>158</v>
      </c>
      <c r="D4" s="2">
        <f>120*2</f>
        <v>240</v>
      </c>
      <c r="E4" s="2" t="s">
        <v>159</v>
      </c>
    </row>
    <row r="5" ht="20" customHeight="1" spans="1:5">
      <c r="A5" s="2" t="s">
        <v>128</v>
      </c>
      <c r="B5" s="2"/>
      <c r="C5" s="2"/>
      <c r="D5" s="2">
        <f>SUM(D3:D4)</f>
        <v>304</v>
      </c>
      <c r="E5" s="2"/>
    </row>
  </sheetData>
  <mergeCells count="1">
    <mergeCell ref="A1:E1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8"/>
  <sheetViews>
    <sheetView workbookViewId="0">
      <selection activeCell="B8" sqref="B8"/>
    </sheetView>
  </sheetViews>
  <sheetFormatPr defaultColWidth="9" defaultRowHeight="13.5" outlineLevelRow="7" outlineLevelCol="4"/>
  <cols>
    <col min="2" max="2" width="15.5" customWidth="1"/>
    <col min="3" max="3" width="11.625" customWidth="1"/>
    <col min="4" max="4" width="11" customWidth="1"/>
    <col min="5" max="5" width="16" customWidth="1"/>
  </cols>
  <sheetData>
    <row r="1" ht="28" customHeight="1" spans="1:5">
      <c r="A1" s="1" t="s">
        <v>161</v>
      </c>
      <c r="B1" s="1"/>
      <c r="C1" s="1"/>
      <c r="D1" s="1"/>
      <c r="E1" s="1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156</v>
      </c>
      <c r="E2" s="2" t="s">
        <v>87</v>
      </c>
    </row>
    <row r="3" ht="20" customHeight="1" spans="1:5">
      <c r="A3" s="2">
        <v>1</v>
      </c>
      <c r="B3" s="2" t="s">
        <v>162</v>
      </c>
      <c r="C3" s="2" t="s">
        <v>163</v>
      </c>
      <c r="D3" s="2">
        <f>248*2</f>
        <v>496</v>
      </c>
      <c r="E3" s="2" t="s">
        <v>159</v>
      </c>
    </row>
    <row r="4" ht="20" customHeight="1" spans="1:5">
      <c r="A4" s="2">
        <v>2</v>
      </c>
      <c r="B4" s="2" t="s">
        <v>164</v>
      </c>
      <c r="C4" s="2" t="s">
        <v>165</v>
      </c>
      <c r="D4" s="2">
        <v>120</v>
      </c>
      <c r="E4" s="2" t="s">
        <v>159</v>
      </c>
    </row>
    <row r="5" ht="20" customHeight="1" spans="1:5">
      <c r="A5" s="2">
        <v>3</v>
      </c>
      <c r="B5" s="2" t="s">
        <v>166</v>
      </c>
      <c r="C5" s="2" t="s">
        <v>167</v>
      </c>
      <c r="D5" s="2">
        <v>50</v>
      </c>
      <c r="E5" s="2" t="s">
        <v>159</v>
      </c>
    </row>
    <row r="6" ht="20" customHeight="1" spans="1:5">
      <c r="A6" s="2">
        <v>4</v>
      </c>
      <c r="B6" s="2" t="s">
        <v>168</v>
      </c>
      <c r="C6" s="2" t="s">
        <v>167</v>
      </c>
      <c r="D6" s="2">
        <v>190</v>
      </c>
      <c r="E6" s="2" t="s">
        <v>159</v>
      </c>
    </row>
    <row r="7" ht="20" customHeight="1" spans="1:5">
      <c r="A7" s="2">
        <v>5</v>
      </c>
      <c r="B7" s="2" t="s">
        <v>168</v>
      </c>
      <c r="C7" s="2" t="s">
        <v>169</v>
      </c>
      <c r="D7" s="2">
        <v>190</v>
      </c>
      <c r="E7" s="2" t="s">
        <v>159</v>
      </c>
    </row>
    <row r="8" ht="20" customHeight="1" spans="1:5">
      <c r="A8" s="2" t="s">
        <v>128</v>
      </c>
      <c r="B8" s="2"/>
      <c r="C8" s="2"/>
      <c r="D8" s="2">
        <f>SUM(D3:D7)</f>
        <v>1046</v>
      </c>
      <c r="E8" s="2"/>
    </row>
  </sheetData>
  <mergeCells count="1">
    <mergeCell ref="A1:E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2"/>
  <sheetViews>
    <sheetView workbookViewId="0">
      <selection activeCell="E7" sqref="E7:E11"/>
    </sheetView>
  </sheetViews>
  <sheetFormatPr defaultColWidth="9" defaultRowHeight="13.5" outlineLevelCol="4"/>
  <cols>
    <col min="2" max="2" width="15.5" customWidth="1"/>
    <col min="3" max="3" width="11.625" customWidth="1"/>
    <col min="4" max="4" width="11" customWidth="1"/>
    <col min="5" max="5" width="16" customWidth="1"/>
  </cols>
  <sheetData>
    <row r="1" ht="28" customHeight="1" spans="1:5">
      <c r="A1" s="1" t="s">
        <v>170</v>
      </c>
      <c r="B1" s="1"/>
      <c r="C1" s="1"/>
      <c r="D1" s="1"/>
      <c r="E1" s="1"/>
    </row>
    <row r="2" ht="20" customHeight="1" spans="1:5">
      <c r="A2" s="2" t="s">
        <v>83</v>
      </c>
      <c r="B2" s="2" t="s">
        <v>84</v>
      </c>
      <c r="C2" s="2" t="s">
        <v>85</v>
      </c>
      <c r="D2" s="2" t="s">
        <v>171</v>
      </c>
      <c r="E2" s="2" t="s">
        <v>87</v>
      </c>
    </row>
    <row r="3" ht="20" customHeight="1" spans="1:5">
      <c r="A3" s="2">
        <v>1</v>
      </c>
      <c r="B3" s="2" t="s">
        <v>172</v>
      </c>
      <c r="C3" s="2"/>
      <c r="D3" s="2">
        <v>2</v>
      </c>
      <c r="E3" s="2" t="s">
        <v>159</v>
      </c>
    </row>
    <row r="4" ht="20" customHeight="1" spans="1:5">
      <c r="A4" s="2">
        <v>2</v>
      </c>
      <c r="B4" s="2" t="s">
        <v>173</v>
      </c>
      <c r="C4" s="2"/>
      <c r="D4" s="2">
        <v>2</v>
      </c>
      <c r="E4" s="2" t="s">
        <v>159</v>
      </c>
    </row>
    <row r="5" ht="20" customHeight="1" spans="1:5">
      <c r="A5" s="2">
        <v>3</v>
      </c>
      <c r="B5" s="2" t="s">
        <v>174</v>
      </c>
      <c r="C5" s="2"/>
      <c r="D5" s="2">
        <v>1</v>
      </c>
      <c r="E5" s="2" t="s">
        <v>159</v>
      </c>
    </row>
    <row r="6" ht="20" customHeight="1" spans="1:5">
      <c r="A6" s="2">
        <v>4</v>
      </c>
      <c r="B6" s="2" t="s">
        <v>175</v>
      </c>
      <c r="C6" s="2"/>
      <c r="D6" s="2">
        <v>1</v>
      </c>
      <c r="E6" s="2" t="s">
        <v>159</v>
      </c>
    </row>
    <row r="7" ht="20" customHeight="1" spans="1:5">
      <c r="A7" s="2">
        <v>5</v>
      </c>
      <c r="B7" s="2" t="s">
        <v>176</v>
      </c>
      <c r="C7" s="2"/>
      <c r="D7" s="2">
        <v>1</v>
      </c>
      <c r="E7" s="2" t="s">
        <v>159</v>
      </c>
    </row>
    <row r="8" ht="20" customHeight="1" spans="1:5">
      <c r="A8" s="2">
        <v>6</v>
      </c>
      <c r="B8" s="2" t="s">
        <v>177</v>
      </c>
      <c r="C8" s="2"/>
      <c r="D8" s="2">
        <v>2</v>
      </c>
      <c r="E8" s="2" t="s">
        <v>159</v>
      </c>
    </row>
    <row r="9" ht="20" customHeight="1" spans="1:5">
      <c r="A9" s="2">
        <v>7</v>
      </c>
      <c r="B9" s="2" t="s">
        <v>178</v>
      </c>
      <c r="C9" s="2"/>
      <c r="D9" s="2">
        <v>2</v>
      </c>
      <c r="E9" s="2" t="s">
        <v>159</v>
      </c>
    </row>
    <row r="10" ht="20" customHeight="1" spans="1:5">
      <c r="A10" s="2">
        <v>8</v>
      </c>
      <c r="B10" s="2" t="s">
        <v>179</v>
      </c>
      <c r="C10" s="2"/>
      <c r="D10" s="2">
        <v>2</v>
      </c>
      <c r="E10" s="2" t="s">
        <v>159</v>
      </c>
    </row>
    <row r="11" ht="20" customHeight="1" spans="1:5">
      <c r="A11" s="2">
        <v>9</v>
      </c>
      <c r="B11" s="2" t="s">
        <v>180</v>
      </c>
      <c r="C11" s="2"/>
      <c r="D11" s="2">
        <v>2</v>
      </c>
      <c r="E11" s="2" t="s">
        <v>159</v>
      </c>
    </row>
    <row r="12" ht="20" customHeight="1" spans="1:5">
      <c r="A12" s="2" t="s">
        <v>128</v>
      </c>
      <c r="B12" s="2"/>
      <c r="C12" s="2"/>
      <c r="D12" s="2">
        <f>SUM(D3:D11)</f>
        <v>15</v>
      </c>
      <c r="E12" s="2"/>
    </row>
  </sheetData>
  <mergeCells count="1">
    <mergeCell ref="A1:E1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Microsoft Excel</Application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700章</vt:lpstr>
      <vt:lpstr>702-1-2 种植土 </vt:lpstr>
      <vt:lpstr>703-1-1 喷播草籽</vt:lpstr>
      <vt:lpstr>703-4-1 果岭草，满铺</vt:lpstr>
      <vt:lpstr>704-1-1 香樟</vt:lpstr>
      <vt:lpstr>704-1-2 金桂</vt:lpstr>
      <vt:lpstr>704-1-3 银杏</vt:lpstr>
      <vt:lpstr>704-1-4 紫薇</vt:lpstr>
      <vt:lpstr>704-1-5 红叶石楠柱</vt:lpstr>
      <vt:lpstr>704-2-1 金森女贞锥</vt:lpstr>
      <vt:lpstr>704-2-3 夹竹桃</vt:lpstr>
      <vt:lpstr>704-2-4树状月季</vt:lpstr>
      <vt:lpstr>704-3-1 四季桂绿篱</vt:lpstr>
      <vt:lpstr>704-3-2 八角金盘</vt:lpstr>
      <vt:lpstr>704-3-3 红叶石楠</vt:lpstr>
      <vt:lpstr>704-3-4 毛鹃</vt:lpstr>
      <vt:lpstr>704-3-5 茶梅</vt:lpstr>
      <vt:lpstr>704-3-6 翠芦莉</vt:lpstr>
      <vt:lpstr>704-3-7 金森女贞</vt:lpstr>
      <vt:lpstr>704-3-8 品种月季</vt:lpstr>
      <vt:lpstr>704-3-9 云南黄馨</vt:lpstr>
      <vt:lpstr>704-3-10 矮麦冬</vt:lpstr>
      <vt:lpstr>704-12  清苗</vt:lpstr>
      <vt:lpstr>706-1 路基段声屏障  </vt:lpstr>
      <vt:lpstr>706-2 桥梁段声屏障</vt:lpstr>
      <vt:lpstr>707-1  沉淀池 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</dc:creator>
  <cp:lastModifiedBy>亮哥</cp:lastModifiedBy>
  <dcterms:created xsi:type="dcterms:W3CDTF">2018-03-06T02:01:00Z</dcterms:created>
  <cp:lastPrinted>2023-02-24T07:17:00Z</cp:lastPrinted>
  <dcterms:modified xsi:type="dcterms:W3CDTF">2023-08-03T09:21:28Z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4E602EB854664A7D8554F1AE269AF4C8</vt:lpwstr>
  </property>
  <property fmtid="{D5CDD505-2E9C-101B-9397-08002B2CF9AE}" pid="3" name="KSOProductBuildVer">
    <vt:lpwstr>2052-11.1.0.14309</vt:lpwstr>
  </property>
</Properties>
</file>