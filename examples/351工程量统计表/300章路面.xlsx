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30" tabRatio="892" firstSheet="29" activeTab="35"/>
  </bookViews>
  <sheets>
    <sheet name="300章" sheetId="49" r:id="rId1"/>
    <sheet name="302-1-3厚150mm 级配碎石垫层" sheetId="1" r:id="rId2"/>
    <sheet name="302-8-7厚400mm素混凝土垫层" sheetId="50" r:id="rId3"/>
    <sheet name="303-1-5 厚200mm水泥稳定碎石底基层" sheetId="2" r:id="rId4"/>
    <sheet name="303-1-8 厚340mm水泥稳定碎石底基层" sheetId="51" r:id="rId5"/>
    <sheet name="304-1-5 厚200mm 水泥稳定碎石基层 " sheetId="86" r:id="rId6"/>
    <sheet name="305-2 黏层" sheetId="84" r:id="rId7"/>
    <sheet name="305-3-6 下封层" sheetId="83" r:id="rId8"/>
    <sheet name="305-5-5 防水黏结层 " sheetId="82" r:id="rId9"/>
    <sheet name="305-6-2 抛丸 " sheetId="81" r:id="rId10"/>
    <sheet name="306-1-3-4 厚80mm粗粒式沥青混凝土 " sheetId="80" r:id="rId11"/>
    <sheet name="306-2-2-3 厚60mm中粒式沥青混凝土" sheetId="79" r:id="rId12"/>
    <sheet name="306-2-2-5 厚140mm中粒式沥青混凝土 " sheetId="54" r:id="rId13"/>
    <sheet name="306-3-1-2 厚40mm细粒式沥青玛蹄脂碎石混合料面层" sheetId="46" r:id="rId14"/>
    <sheet name="307-1-1 C30混凝土水泥混凝土面层" sheetId="78" r:id="rId15"/>
    <sheet name="307-1-2 C35混凝土水泥混凝土面层 " sheetId="56" r:id="rId16"/>
    <sheet name="307-1-3 C25混凝土水泥混凝土面层" sheetId="57" r:id="rId17"/>
    <sheet name="307-2-2 带肋钢筋 " sheetId="77" r:id="rId18"/>
    <sheet name="309-1 路肩培土" sheetId="76" r:id="rId19"/>
    <sheet name="309-4-2-3 C30混凝土预制砼平石" sheetId="59" r:id="rId20"/>
    <sheet name="310-1-1-2 D300mm混凝土排水管 " sheetId="60" r:id="rId21"/>
    <sheet name="310-1-2-4 D110mmPVC排水管 " sheetId="61" r:id="rId22"/>
    <sheet name="310-2-2-1 D300Ⅱ级钢筋砼雨水管" sheetId="62" r:id="rId23"/>
    <sheet name="310-2-2-2 D600Ⅱ级钢筋砼雨水管" sheetId="63" r:id="rId24"/>
    <sheet name="310-2-2-3 D800Ⅱ级钢筋砼雨水管" sheetId="64" r:id="rId25"/>
    <sheet name="310-2-3-2 球墨铸铁给水管（DN200)" sheetId="65" r:id="rId26"/>
    <sheet name="310-3 中央分隔带渗沟 " sheetId="66" r:id="rId27"/>
    <sheet name="310-4 集水井 " sheetId="67" r:id="rId28"/>
    <sheet name="310-5-1 矩形钢筋砼（内空1.1×1.1m）检查井" sheetId="68" r:id="rId29"/>
    <sheet name="310-5-2 矩形钢筋砼（内空1.25×1.25）检查井" sheetId="69" r:id="rId30"/>
    <sheet name="310-10-1 砖砌单篦雨水口" sheetId="70" r:id="rId31"/>
    <sheet name="310-13-1 砂砾（碎石）透水层 路肩排水 " sheetId="71" r:id="rId32"/>
    <sheet name="310-13-2 透水土工布 路肩排水 " sheetId="72" r:id="rId33"/>
    <sheet name="310-13-5 防渗土工布 路肩排水" sheetId="73" r:id="rId34"/>
    <sheet name="310-15 流水槽" sheetId="74" r:id="rId35"/>
    <sheet name="310-16 急流槽" sheetId="75" r:id="rId36"/>
    <sheet name="Sheet2" sheetId="44" r:id="rId37"/>
  </sheets>
  <externalReferences>
    <externalReference r:id="rId38"/>
  </externalReferences>
  <definedNames>
    <definedName name="_xlnm._FilterDatabase" localSheetId="0" hidden="1">'300章'!$B$1:$B$75</definedName>
    <definedName name="_xlnm.Print_Area" localSheetId="3">'303-1-5 厚200mm水泥稳定碎石底基层'!$A$1:$H$22</definedName>
    <definedName name="_xlnm.Print_Titles" localSheetId="1">'302-1-3厚150mm 级配碎石垫层'!$1:$2</definedName>
    <definedName name="宕渣">[1]材料单价!$D$18</definedName>
    <definedName name="吊机50">#REF!</definedName>
    <definedName name="风化碎石">#REF!</definedName>
    <definedName name="钢板">#REF!</definedName>
    <definedName name="钢管">#REF!</definedName>
    <definedName name="钢管桩">[1]材料单价!$D$19</definedName>
    <definedName name="钢护筒">#REF!</definedName>
    <definedName name="钢绞线">#REF!</definedName>
    <definedName name="钢筋1">#REF!</definedName>
    <definedName name="钢筋2">#REF!</definedName>
    <definedName name="钢筋涵1">#REF!</definedName>
    <definedName name="钢筋涵1.25">#REF!</definedName>
    <definedName name="结构碎石">#REF!</definedName>
    <definedName name="片石">#REF!</definedName>
    <definedName name="砂">#REF!</definedName>
    <definedName name="砂砾">#REF!</definedName>
    <definedName name="生石灰">#REF!</definedName>
    <definedName name="水泥1">#REF!</definedName>
    <definedName name="水泥2">#REF!</definedName>
    <definedName name="碎石">#REF!</definedName>
    <definedName name="砼拌运">[1]砼拌合站建设!$C$31</definedName>
    <definedName name="土">#REF!</definedName>
    <definedName name="型钢">#REF!</definedName>
    <definedName name="中粗砂">#REF!</definedName>
    <definedName name="八号">EVALUATE(#REF!)</definedName>
    <definedName name="大龙">EVALUATE(#REF!)</definedName>
    <definedName name="二号">EVALUATE(#REF!)</definedName>
    <definedName name="六号">EVALUATE(#REF!)</definedName>
    <definedName name="七号">EVALUATE(#REF!)</definedName>
    <definedName name="三号">EVALUATE(#REF!)</definedName>
    <definedName name="石柱">EVALUATE(#REF!)</definedName>
    <definedName name="四号">EVALUATE(#REF!)</definedName>
    <definedName name="五号">EVALUATE(#REF!)</definedName>
    <definedName name="一号">EVALUATE(#REF!)</definedName>
    <definedName name="_xlnm.Print_Titles" localSheetId="2">'302-8-7厚400mm素混凝土垫层'!$1:$2</definedName>
    <definedName name="_xlnm.Print_Area" localSheetId="4">'303-1-8 厚340mm水泥稳定碎石底基层'!$A$1:$G$29</definedName>
    <definedName name="_xlnm.Print_Titles" localSheetId="4">'303-1-8 厚340mm水泥稳定碎石底基层'!$1:$2</definedName>
  </definedNames>
  <calcPr calcId="144525" concurrentCalc="0"/>
</workbook>
</file>

<file path=xl/sharedStrings.xml><?xml version="1.0" encoding="utf-8"?>
<sst xmlns="http://schemas.openxmlformats.org/spreadsheetml/2006/main" count="1477" uniqueCount="406">
  <si>
    <t xml:space="preserve">清单   第 300 章 路面工程 </t>
  </si>
  <si>
    <t>子目号</t>
  </si>
  <si>
    <t>子目名称</t>
  </si>
  <si>
    <t>单位</t>
  </si>
  <si>
    <t>数量</t>
  </si>
  <si>
    <t>单价</t>
  </si>
  <si>
    <t>合价</t>
  </si>
  <si>
    <t>302</t>
  </si>
  <si>
    <t xml:space="preserve">垫层 </t>
  </si>
  <si>
    <t>302-1</t>
  </si>
  <si>
    <t xml:space="preserve">碎石垫层 </t>
  </si>
  <si>
    <t>302-1-3</t>
  </si>
  <si>
    <t xml:space="preserve">厚150mm </t>
  </si>
  <si>
    <t>m2</t>
  </si>
  <si>
    <t>302-8</t>
  </si>
  <si>
    <t xml:space="preserve">素混凝土垫层 </t>
  </si>
  <si>
    <t>302-8-7</t>
  </si>
  <si>
    <t xml:space="preserve">厚400mm </t>
  </si>
  <si>
    <t>底基层</t>
  </si>
  <si>
    <t>303-1</t>
  </si>
  <si>
    <t xml:space="preserve">水泥稳定碎石底基层 </t>
  </si>
  <si>
    <t>303-1-5</t>
  </si>
  <si>
    <t xml:space="preserve">厚200mm </t>
  </si>
  <si>
    <t>303-1-8</t>
  </si>
  <si>
    <t xml:space="preserve">厚340mm </t>
  </si>
  <si>
    <t>304-1</t>
  </si>
  <si>
    <t xml:space="preserve">水泥稳定碎石基层 </t>
  </si>
  <si>
    <t>304-1-5</t>
  </si>
  <si>
    <t>透层、封层、黏层</t>
  </si>
  <si>
    <t>305-2</t>
  </si>
  <si>
    <t xml:space="preserve">黏层 </t>
  </si>
  <si>
    <t>305-3-2</t>
  </si>
  <si>
    <t xml:space="preserve">乳化沥青封层 </t>
  </si>
  <si>
    <t>305-3-6</t>
  </si>
  <si>
    <t>下封层</t>
  </si>
  <si>
    <t>305-5-5</t>
  </si>
  <si>
    <t>防水黏结层</t>
  </si>
  <si>
    <t>305-6</t>
  </si>
  <si>
    <t xml:space="preserve">混凝土表面处理 </t>
  </si>
  <si>
    <t>305-6-2</t>
  </si>
  <si>
    <t>抛丸</t>
  </si>
  <si>
    <t>306</t>
  </si>
  <si>
    <t xml:space="preserve">沥青混凝土面层 </t>
  </si>
  <si>
    <t>306-1</t>
  </si>
  <si>
    <t xml:space="preserve">普通沥青混凝土面层 </t>
  </si>
  <si>
    <t>306-1-2</t>
  </si>
  <si>
    <t xml:space="preserve">中粒式沥青混凝土 </t>
  </si>
  <si>
    <t>306-1-2-3</t>
  </si>
  <si>
    <t xml:space="preserve">厚60mm </t>
  </si>
  <si>
    <t>306-1-3</t>
  </si>
  <si>
    <t xml:space="preserve">粗粒式沥青混凝土 </t>
  </si>
  <si>
    <t>306-1-3-4</t>
  </si>
  <si>
    <t xml:space="preserve">厚80mm </t>
  </si>
  <si>
    <t>306-2</t>
  </si>
  <si>
    <t xml:space="preserve">改性沥青混凝土面层 </t>
  </si>
  <si>
    <t>306-2-2</t>
  </si>
  <si>
    <t xml:space="preserve">中粒式改性沥青混凝土 </t>
  </si>
  <si>
    <t>306-2-2-3</t>
  </si>
  <si>
    <t>306-2-2-5</t>
  </si>
  <si>
    <t>厚140mm</t>
  </si>
  <si>
    <t>306-3</t>
  </si>
  <si>
    <t xml:space="preserve">沥青玛蹄脂碎石混合料面层（SMA） </t>
  </si>
  <si>
    <t>306-3-1</t>
  </si>
  <si>
    <t xml:space="preserve">细粒式沥青玛蹄脂碎石混合料面层（SMA） </t>
  </si>
  <si>
    <t>306-3-1-2</t>
  </si>
  <si>
    <t xml:space="preserve">厚40mm </t>
  </si>
  <si>
    <t>307</t>
  </si>
  <si>
    <t xml:space="preserve">水泥混凝土面板 </t>
  </si>
  <si>
    <t>307-1</t>
  </si>
  <si>
    <t xml:space="preserve">水泥混凝土面层 </t>
  </si>
  <si>
    <t>307-1-1</t>
  </si>
  <si>
    <t xml:space="preserve">C30混凝土 </t>
  </si>
  <si>
    <t>m3</t>
  </si>
  <si>
    <t>307-1-2</t>
  </si>
  <si>
    <t xml:space="preserve">C35混凝土 </t>
  </si>
  <si>
    <t>307-1-4</t>
  </si>
  <si>
    <t xml:space="preserve">C25混凝土 </t>
  </si>
  <si>
    <t>307-2</t>
  </si>
  <si>
    <t xml:space="preserve">钢筋 </t>
  </si>
  <si>
    <t>307-2-2</t>
  </si>
  <si>
    <t xml:space="preserve">带肋钢筋 </t>
  </si>
  <si>
    <t>kg</t>
  </si>
  <si>
    <t>309</t>
  </si>
  <si>
    <t xml:space="preserve">路槽、路肩及中央分隔带 </t>
  </si>
  <si>
    <t>309-1</t>
  </si>
  <si>
    <t xml:space="preserve">路肩培土 </t>
  </si>
  <si>
    <t>309-4</t>
  </si>
  <si>
    <t>路缘石</t>
  </si>
  <si>
    <t>309-4-2</t>
  </si>
  <si>
    <t>预制块混凝土路缘石</t>
  </si>
  <si>
    <t>309-4-2-3</t>
  </si>
  <si>
    <t>C30混凝土</t>
  </si>
  <si>
    <t>m</t>
  </si>
  <si>
    <t>310</t>
  </si>
  <si>
    <t xml:space="preserve">路面排水 </t>
  </si>
  <si>
    <t>310-1</t>
  </si>
  <si>
    <t xml:space="preserve">排水管 </t>
  </si>
  <si>
    <t>310-1-1</t>
  </si>
  <si>
    <t xml:space="preserve">混凝土排水管 </t>
  </si>
  <si>
    <t>310-1-1-2</t>
  </si>
  <si>
    <t xml:space="preserve">D300mm </t>
  </si>
  <si>
    <t>310-1-2</t>
  </si>
  <si>
    <t xml:space="preserve">PVC排水管 </t>
  </si>
  <si>
    <t>310-1-2-4</t>
  </si>
  <si>
    <t xml:space="preserve">D110mm </t>
  </si>
  <si>
    <t>310-2</t>
  </si>
  <si>
    <t>纵向雨水沟（管）</t>
  </si>
  <si>
    <t>310-2-2</t>
  </si>
  <si>
    <t>纵向雨水管</t>
  </si>
  <si>
    <t>310-2-2-1</t>
  </si>
  <si>
    <t>D300Ⅱ级钢筋砼雨水管</t>
  </si>
  <si>
    <t>310-2-2-2</t>
  </si>
  <si>
    <t>D600Ⅱ级钢筋砼雨水管</t>
  </si>
  <si>
    <t>310-2-2-3</t>
  </si>
  <si>
    <t>D800Ⅱ级钢筋砼雨水管</t>
  </si>
  <si>
    <t>310-2-3</t>
  </si>
  <si>
    <t>给水管</t>
  </si>
  <si>
    <t>310-2-3-2</t>
  </si>
  <si>
    <t>球墨铸铁给水管（DN200)</t>
  </si>
  <si>
    <t>310-3</t>
  </si>
  <si>
    <t xml:space="preserve">中央分隔带渗沟 </t>
  </si>
  <si>
    <t>310-4</t>
  </si>
  <si>
    <t xml:space="preserve">集水井 </t>
  </si>
  <si>
    <t>座</t>
  </si>
  <si>
    <t>310-5</t>
  </si>
  <si>
    <t xml:space="preserve">检查井 </t>
  </si>
  <si>
    <t>310-5-1</t>
  </si>
  <si>
    <t>矩形钢筋砼（内空1.1×1.1m）</t>
  </si>
  <si>
    <t>310-5-2</t>
  </si>
  <si>
    <t>矩形钢筋砼（内空1.25×1.25m）</t>
  </si>
  <si>
    <t>310-10</t>
  </si>
  <si>
    <t xml:space="preserve">雨水口 </t>
  </si>
  <si>
    <t>310-10-1</t>
  </si>
  <si>
    <t>砖砌单篦雨水口</t>
  </si>
  <si>
    <t>310-13</t>
  </si>
  <si>
    <t xml:space="preserve">路肩排水 </t>
  </si>
  <si>
    <t>310-13-1</t>
  </si>
  <si>
    <t xml:space="preserve">砂砾（碎石）透水层 </t>
  </si>
  <si>
    <t>310-13-2</t>
  </si>
  <si>
    <t>透水土工布</t>
  </si>
  <si>
    <t>310-13-5</t>
  </si>
  <si>
    <t>防渗土工布</t>
  </si>
  <si>
    <t>310-15</t>
  </si>
  <si>
    <t>流水槽</t>
  </si>
  <si>
    <t>310-16</t>
  </si>
  <si>
    <t>急流槽</t>
  </si>
  <si>
    <t>302-1-3厚150mm 级配碎石垫层数量计算表</t>
  </si>
  <si>
    <t>序号</t>
  </si>
  <si>
    <t>段落</t>
  </si>
  <si>
    <t>长度（m）</t>
  </si>
  <si>
    <t>宽度（m）</t>
  </si>
  <si>
    <r>
      <rPr>
        <b/>
        <sz val="10"/>
        <color rgb="FF000000"/>
        <rFont val="宋体"/>
        <charset val="134"/>
      </rPr>
      <t>核算数量（m</t>
    </r>
    <r>
      <rPr>
        <b/>
        <vertAlign val="superscript"/>
        <sz val="10"/>
        <color rgb="FF000000"/>
        <rFont val="宋体"/>
        <charset val="134"/>
      </rPr>
      <t>2</t>
    </r>
    <r>
      <rPr>
        <b/>
        <sz val="10"/>
        <color rgb="FF000000"/>
        <rFont val="宋体"/>
        <charset val="134"/>
      </rPr>
      <t>）</t>
    </r>
  </si>
  <si>
    <r>
      <rPr>
        <b/>
        <sz val="10"/>
        <color rgb="FF000000"/>
        <rFont val="宋体"/>
        <charset val="134"/>
      </rPr>
      <t>图纸数量（m</t>
    </r>
    <r>
      <rPr>
        <b/>
        <vertAlign val="superscript"/>
        <sz val="10"/>
        <color rgb="FF000000"/>
        <rFont val="宋体"/>
        <charset val="134"/>
      </rPr>
      <t>2</t>
    </r>
    <r>
      <rPr>
        <b/>
        <sz val="10"/>
        <color rgb="FF000000"/>
        <rFont val="宋体"/>
        <charset val="134"/>
      </rPr>
      <t>)</t>
    </r>
  </si>
  <si>
    <t>备注</t>
  </si>
  <si>
    <t>K7+245-K7+416</t>
  </si>
  <si>
    <t>第五册第一分册S6-3-12</t>
  </si>
  <si>
    <t>AK0+195-AK0+231</t>
  </si>
  <si>
    <t>渐变段</t>
  </si>
  <si>
    <t>AK0+231-AK0+357</t>
  </si>
  <si>
    <t>BK0+106-BK0+315</t>
  </si>
  <si>
    <t>合计：</t>
  </si>
  <si>
    <t xml:space="preserve">    计算：                复核：                监理:                    日期:</t>
  </si>
  <si>
    <t>302-8-7厚400mm素混凝土垫层 数量计算表</t>
  </si>
  <si>
    <t>位置</t>
  </si>
  <si>
    <t>K4+456</t>
  </si>
  <si>
    <t>七秩塘桥右幅磐安方向</t>
  </si>
  <si>
    <t>第二册S3-17</t>
  </si>
  <si>
    <t>七秩塘桥右幅东阳方向</t>
  </si>
  <si>
    <t>ZK4+460.5</t>
  </si>
  <si>
    <t>七秩塘桥左幅磐安方向</t>
  </si>
  <si>
    <t>七秩塘桥左幅东阳方向</t>
  </si>
  <si>
    <t>K6+960</t>
  </si>
  <si>
    <t>横路店大桥磐安方向</t>
  </si>
  <si>
    <t>第五册第一分册S6-3-4</t>
  </si>
  <si>
    <t>横路店大桥东阳方向</t>
  </si>
  <si>
    <t>K7+711.6</t>
  </si>
  <si>
    <t>马宅大桥磐安方向</t>
  </si>
  <si>
    <t>AK0+376</t>
  </si>
  <si>
    <t>马宅互通A辅道桥磐安方向</t>
  </si>
  <si>
    <t>马宅互通A辅道桥东阳方向</t>
  </si>
  <si>
    <t>BK0+087.6</t>
  </si>
  <si>
    <t>马宅互通B辅道桥磐安方向</t>
  </si>
  <si>
    <t>马宅互通B辅道桥东阳方向</t>
  </si>
  <si>
    <t>303-1-5 厚200mm水泥稳定碎石底基层数量计算表</t>
  </si>
  <si>
    <t>被交道路路面宽度（m）</t>
  </si>
  <si>
    <r>
      <rPr>
        <b/>
        <sz val="11"/>
        <color rgb="FF000000"/>
        <rFont val="宋体"/>
        <charset val="134"/>
      </rPr>
      <t>核算数量（m</t>
    </r>
    <r>
      <rPr>
        <b/>
        <vertAlign val="superscript"/>
        <sz val="11"/>
        <color rgb="FF000000"/>
        <rFont val="宋体"/>
        <charset val="134"/>
      </rPr>
      <t>2</t>
    </r>
    <r>
      <rPr>
        <b/>
        <sz val="11"/>
        <color rgb="FF000000"/>
        <rFont val="宋体"/>
        <charset val="134"/>
      </rPr>
      <t>)</t>
    </r>
  </si>
  <si>
    <r>
      <rPr>
        <b/>
        <sz val="9"/>
        <color rgb="FF000000"/>
        <rFont val="宋体"/>
        <charset val="134"/>
      </rPr>
      <t>图纸数量（m</t>
    </r>
    <r>
      <rPr>
        <b/>
        <vertAlign val="superscript"/>
        <sz val="11"/>
        <color rgb="FF000000"/>
        <rFont val="宋体"/>
        <charset val="134"/>
      </rPr>
      <t>2</t>
    </r>
    <r>
      <rPr>
        <b/>
        <sz val="11"/>
        <color rgb="FF000000"/>
        <rFont val="宋体"/>
        <charset val="134"/>
      </rPr>
      <t>)</t>
    </r>
  </si>
  <si>
    <t>YK4+622.424</t>
  </si>
  <si>
    <t>第五册第二分册S6-5-2</t>
  </si>
  <si>
    <t>ZK4+662.958</t>
  </si>
  <si>
    <t>303-1-8 厚340mm水泥稳定土底基层数量计算表</t>
  </si>
  <si>
    <t>K4+300-K4+800</t>
  </si>
  <si>
    <t>第二册S3-31-1</t>
  </si>
  <si>
    <t>K5+980-K6+800</t>
  </si>
  <si>
    <t>ZK4+300-ZK4+805</t>
  </si>
  <si>
    <t>ZK6+016-ZK6+809</t>
  </si>
  <si>
    <t>隧道口交叉渡线</t>
  </si>
  <si>
    <t>K6+800-K6+829</t>
  </si>
  <si>
    <t>右幅</t>
  </si>
  <si>
    <t>K7+091-K7+179</t>
  </si>
  <si>
    <t>K7+091-K7+170</t>
  </si>
  <si>
    <t>左幅</t>
  </si>
  <si>
    <t>K7+179-K7+245</t>
  </si>
  <si>
    <t>K7+170-K7+245</t>
  </si>
  <si>
    <t>全幅</t>
  </si>
  <si>
    <t>ZK6+809-ZK6+838</t>
  </si>
  <si>
    <t>AK0+121-AK0+195</t>
  </si>
  <si>
    <t>AK0+395-AK0+420</t>
  </si>
  <si>
    <t>BK0+018-BK0+068</t>
  </si>
  <si>
    <t>BK0+315-BK0+375</t>
  </si>
  <si>
    <t>ck0+027-CK0+255</t>
  </si>
  <si>
    <t>DK0+000-DK0+214</t>
  </si>
  <si>
    <t>下新线</t>
  </si>
  <si>
    <t>南下线</t>
  </si>
  <si>
    <t>AK0+461交下新线</t>
  </si>
  <si>
    <t>第五册第一分册S6-2-9</t>
  </si>
  <si>
    <t>CD匝道交南下线</t>
  </si>
  <si>
    <t>304-1-5 厚200mm 水泥稳定碎石基层  数量计算表</t>
  </si>
  <si>
    <r>
      <rPr>
        <b/>
        <sz val="9"/>
        <color rgb="FF000000"/>
        <rFont val="宋体"/>
        <charset val="134"/>
      </rPr>
      <t>核算数量（m</t>
    </r>
    <r>
      <rPr>
        <b/>
        <vertAlign val="superscript"/>
        <sz val="9"/>
        <color rgb="FF000000"/>
        <rFont val="宋体"/>
        <charset val="134"/>
      </rPr>
      <t>2</t>
    </r>
    <r>
      <rPr>
        <b/>
        <sz val="9"/>
        <color rgb="FF000000"/>
        <rFont val="宋体"/>
        <charset val="134"/>
      </rPr>
      <t>)</t>
    </r>
  </si>
  <si>
    <r>
      <rPr>
        <b/>
        <sz val="9"/>
        <color rgb="FF000000"/>
        <rFont val="宋体"/>
        <charset val="134"/>
      </rPr>
      <t>图纸数量（m</t>
    </r>
    <r>
      <rPr>
        <b/>
        <vertAlign val="superscript"/>
        <sz val="9"/>
        <color rgb="FF000000"/>
        <rFont val="宋体"/>
        <charset val="134"/>
      </rPr>
      <t>2</t>
    </r>
    <r>
      <rPr>
        <b/>
        <sz val="9"/>
        <color rgb="FF000000"/>
        <rFont val="宋体"/>
        <charset val="134"/>
      </rPr>
      <t>)</t>
    </r>
  </si>
  <si>
    <t>K4+300-4+800</t>
  </si>
  <si>
    <t>YK4+622.424七秩塘接线</t>
  </si>
  <si>
    <t>第五册第一分册S6-5-2</t>
  </si>
  <si>
    <t>ZK4+662.958七秩塘接线</t>
  </si>
  <si>
    <t>K4+450改路</t>
  </si>
  <si>
    <t>K4+620改路</t>
  </si>
  <si>
    <t>第七册S9-2-1</t>
  </si>
  <si>
    <t>K4+660改路</t>
  </si>
  <si>
    <t>K6+885改路</t>
  </si>
  <si>
    <t>K7+060改路</t>
  </si>
  <si>
    <t>305-2 黏层 数量计算表</t>
  </si>
  <si>
    <t>K4+456七秩塘桥右幅磐安方向搭板</t>
  </si>
  <si>
    <t>第二册S3-19</t>
  </si>
  <si>
    <t>K4+456七秩塘桥右幅东阳方向搭板</t>
  </si>
  <si>
    <t>ZK4+460.5七秩塘左幅磐安方向搭板</t>
  </si>
  <si>
    <t>ZK4+460.5七秩塘左幅东阳方向搭板</t>
  </si>
  <si>
    <t>K4+800-K5+980</t>
  </si>
  <si>
    <t>第二册S3-31-2</t>
  </si>
  <si>
    <t>后山隧道右幅</t>
  </si>
  <si>
    <t>ZK4+805-ZK6+016</t>
  </si>
  <si>
    <t>后山隧道左幅</t>
  </si>
  <si>
    <t>K4+336-K4+576</t>
  </si>
  <si>
    <t>七秩塘桥右幅</t>
  </si>
  <si>
    <t>ZK4+340.5-ZK4+580.5</t>
  </si>
  <si>
    <t>七秩塘桥左幅</t>
  </si>
  <si>
    <t>K6+960横路店大桥右幅磐安方向搭板</t>
  </si>
  <si>
    <t>K6+960横路店大桥左幅磐安方向搭板</t>
  </si>
  <si>
    <t>第五册第一分册S6-3-5</t>
  </si>
  <si>
    <t>K6+960横路店大桥右幅东阳方向搭板</t>
  </si>
  <si>
    <t>K7+711.6马宅大桥磐安方向搭板</t>
  </si>
  <si>
    <t>AK0+376马宅互通A辅道桥磐安方向搭板</t>
  </si>
  <si>
    <t>AK0+376马宅互通A辅道桥东阳方向搭板</t>
  </si>
  <si>
    <t>BK0+087.6马宅互通B辅道桥磐安方向搭板</t>
  </si>
  <si>
    <t>BK0+087.6马宅互通B辅道桥东阳方向搭板</t>
  </si>
  <si>
    <t>K6+840-K7+080</t>
  </si>
  <si>
    <t>横路店大桥右幅</t>
  </si>
  <si>
    <t>ZK6+848.6-K7+080</t>
  </si>
  <si>
    <t>横路店大桥左幅</t>
  </si>
  <si>
    <t>K7+426.6-K7+816.6</t>
  </si>
  <si>
    <t>马宅大桥左幅</t>
  </si>
  <si>
    <t>马宅大桥右幅</t>
  </si>
  <si>
    <t>AK0+366-AK0+386</t>
  </si>
  <si>
    <t>A辅道桥</t>
  </si>
  <si>
    <t>BK0+077.4-BK0+097.4</t>
  </si>
  <si>
    <t>B辅道桥</t>
  </si>
  <si>
    <t>305-3-6 下封层 数量计算表</t>
  </si>
  <si>
    <t>305-5-5 防水黏结层 数量计算表</t>
  </si>
  <si>
    <t>305-6-2 抛丸 数量计算表</t>
  </si>
  <si>
    <t>306-1-3-4 厚80mm粗粒式沥青混凝土数量计算表</t>
  </si>
  <si>
    <t>306-2-2-3 厚60mm中粒式沥青混凝土数量计算表</t>
  </si>
  <si>
    <t>306-2-2-5 厚140mm中粒式沥青混凝土 数量计算表</t>
  </si>
  <si>
    <t>306-3-1-2 厚40mm细粒式沥青玛蹄脂碎石混合料面层数量计算表</t>
  </si>
  <si>
    <t>307-1-1 C30混凝土水泥混凝土面层数量计算表</t>
  </si>
  <si>
    <t>厚度（m）</t>
  </si>
  <si>
    <r>
      <rPr>
        <b/>
        <sz val="9"/>
        <color rgb="FF000000"/>
        <rFont val="宋体"/>
        <charset val="134"/>
      </rPr>
      <t>核算数量（m</t>
    </r>
    <r>
      <rPr>
        <b/>
        <vertAlign val="superscript"/>
        <sz val="9"/>
        <color rgb="FF000000"/>
        <rFont val="宋体"/>
        <charset val="134"/>
      </rPr>
      <t>3</t>
    </r>
    <r>
      <rPr>
        <b/>
        <sz val="9"/>
        <color rgb="FF000000"/>
        <rFont val="宋体"/>
        <charset val="134"/>
      </rPr>
      <t>)</t>
    </r>
  </si>
  <si>
    <r>
      <rPr>
        <b/>
        <sz val="9"/>
        <color rgb="FF000000"/>
        <rFont val="宋体"/>
        <charset val="134"/>
      </rPr>
      <t>图纸数量（m</t>
    </r>
    <r>
      <rPr>
        <b/>
        <vertAlign val="superscript"/>
        <sz val="9"/>
        <color rgb="FF000000"/>
        <rFont val="宋体"/>
        <charset val="134"/>
      </rPr>
      <t>3</t>
    </r>
    <r>
      <rPr>
        <b/>
        <sz val="9"/>
        <color rgb="FF000000"/>
        <rFont val="宋体"/>
        <charset val="134"/>
      </rPr>
      <t>)</t>
    </r>
  </si>
  <si>
    <t>K4+450</t>
  </si>
  <si>
    <t>K6+885</t>
  </si>
  <si>
    <t>K7+060</t>
  </si>
  <si>
    <t>307-1-2 C35混凝土水泥混凝土面层 数量计算表</t>
  </si>
  <si>
    <t>七秩塘桥右幅磐安方向水泥砼过渡板</t>
  </si>
  <si>
    <t>七秩塘桥右幅东阳方向水泥砼过渡板</t>
  </si>
  <si>
    <t>七秩塘桥左幅磐安方向水泥砼过渡板</t>
  </si>
  <si>
    <t>七秩塘桥左幅东阳方向水泥砼过渡板</t>
  </si>
  <si>
    <t>横路店大桥磐安方向水泥砼过渡板</t>
  </si>
  <si>
    <t>横路店大桥东阳方向水泥砼过渡板</t>
  </si>
  <si>
    <t>马宅大桥磐安方向水泥砼过渡板</t>
  </si>
  <si>
    <t>马宅互通A辅道桥磐安方向水泥砼过渡板</t>
  </si>
  <si>
    <t>马宅互通A辅道桥东阳方向水泥砼过渡板</t>
  </si>
  <si>
    <t>马宅互通B辅道桥磐安方向水泥砼过渡板</t>
  </si>
  <si>
    <t>马宅互通B辅道桥东阳方向水泥砼过渡板</t>
  </si>
  <si>
    <t>307-1-3 C25混凝土水泥混凝土面层数量计算表</t>
  </si>
  <si>
    <t>双徐线、村道</t>
  </si>
  <si>
    <t>第七册S9-2-3</t>
  </si>
  <si>
    <t>307-2-2 带肋钢筋 数量计算表</t>
  </si>
  <si>
    <t>309-1 路肩培土 数量计算表</t>
  </si>
  <si>
    <t>长度</t>
  </si>
  <si>
    <t>左侧（m）</t>
  </si>
  <si>
    <t>右侧（m）</t>
  </si>
  <si>
    <t>K4+300-K4+316</t>
  </si>
  <si>
    <t>第二册PS2-4</t>
  </si>
  <si>
    <t>挖</t>
  </si>
  <si>
    <t>K4+316-K4+331</t>
  </si>
  <si>
    <t>填</t>
  </si>
  <si>
    <t>K4+581-K4+760</t>
  </si>
  <si>
    <t>K4+760-K4+780</t>
  </si>
  <si>
    <t>K5+980-K6+180</t>
  </si>
  <si>
    <t>K6+180-K6+517</t>
  </si>
  <si>
    <t>K6+517-K6+680</t>
  </si>
  <si>
    <t>K6+680-K6+800</t>
  </si>
  <si>
    <t>K4+300-K4+331</t>
  </si>
  <si>
    <t>K4+581-K4+780</t>
  </si>
  <si>
    <t>K5+980-K6+037</t>
  </si>
  <si>
    <t>ZK4+300-ZK4+331</t>
  </si>
  <si>
    <t>ZK4+722-ZK4+785</t>
  </si>
  <si>
    <t>ZK6+016-ZK6+048</t>
  </si>
  <si>
    <t>ZK4+586-ZK4+700</t>
  </si>
  <si>
    <t>ZK4+700-ZK4+785</t>
  </si>
  <si>
    <t>ZK6+016-ZK6+280</t>
  </si>
  <si>
    <t>ZK6+280-ZK6+510</t>
  </si>
  <si>
    <t>ZK6+510-ZK6+756</t>
  </si>
  <si>
    <t>ZK6+756-ZK6+809</t>
  </si>
  <si>
    <t>K6+800-K6+840</t>
  </si>
  <si>
    <t>K7+080-K7+179</t>
  </si>
  <si>
    <t>K7+080-K7+170</t>
  </si>
  <si>
    <t>K7+179-K7+427</t>
  </si>
  <si>
    <t>K7+171-K7+427</t>
  </si>
  <si>
    <t>K7+080-k7+427</t>
  </si>
  <si>
    <t>AK0+121-AK0+200</t>
  </si>
  <si>
    <t>AK0+200-AK0+366</t>
  </si>
  <si>
    <t>AK0+386-AK0+461</t>
  </si>
  <si>
    <t>BK0+000-BK0+077</t>
  </si>
  <si>
    <t>BK0+097-BK0+117</t>
  </si>
  <si>
    <t>BK0+117-BK0+320</t>
  </si>
  <si>
    <t>BK0+117-BK0+375</t>
  </si>
  <si>
    <t>CK0+000-CK0+255</t>
  </si>
  <si>
    <t>DK0+000-DK0+246</t>
  </si>
  <si>
    <t>309-4-2-3 C30混凝土预制砼平石数量计算表</t>
  </si>
  <si>
    <t>核算数量（m)</t>
  </si>
  <si>
    <t>图纸数量（m)</t>
  </si>
  <si>
    <t>CK0+027-CK0+255</t>
  </si>
  <si>
    <t>310-1-1-2 D300mm混凝土排水管 数量计算表</t>
  </si>
  <si>
    <t>K6+350</t>
  </si>
  <si>
    <t>第二册PS2-5</t>
  </si>
  <si>
    <t>K6+400</t>
  </si>
  <si>
    <t>K6+450</t>
  </si>
  <si>
    <t>K6+515</t>
  </si>
  <si>
    <t>K6+685</t>
  </si>
  <si>
    <t>K6+765</t>
  </si>
  <si>
    <t>K7+170</t>
  </si>
  <si>
    <t>K7+230</t>
  </si>
  <si>
    <t>K7+280</t>
  </si>
  <si>
    <t>K7+345</t>
  </si>
  <si>
    <t>310-1-2-4 D110mmPVC排水管 数量计算表</t>
  </si>
  <si>
    <t>K4+581-K4+717</t>
  </si>
  <si>
    <t>K6+037-K6+710</t>
  </si>
  <si>
    <t>K6+170-6+800</t>
  </si>
  <si>
    <t>K7+080-K7+427</t>
  </si>
  <si>
    <t>310-2-2-1 D300Ⅱ级钢筋砼雨水管 数量计算表</t>
  </si>
  <si>
    <t>雨水口连接管</t>
  </si>
  <si>
    <t>第二册PS3-5-1</t>
  </si>
  <si>
    <t>310-2-2-2 D600Ⅱ级钢筋砼雨水管 数量计算表</t>
  </si>
  <si>
    <t>Y5-Y6</t>
  </si>
  <si>
    <t>第二册PS3-1 第二册PS3-3    第二册PS3-5-1</t>
  </si>
  <si>
    <t>Y6-Y7</t>
  </si>
  <si>
    <t>Y7-Y8</t>
  </si>
  <si>
    <t>Y8-Y9</t>
  </si>
  <si>
    <t>Y9-Y10</t>
  </si>
  <si>
    <t>Y10-Y11</t>
  </si>
  <si>
    <t>Y11-Y12</t>
  </si>
  <si>
    <t>Y5-Y13</t>
  </si>
  <si>
    <t>Y13-Y14</t>
  </si>
  <si>
    <t>Y14-Y15</t>
  </si>
  <si>
    <t>Y15-Y16</t>
  </si>
  <si>
    <t>Y16-Y17</t>
  </si>
  <si>
    <t>Y17-Y18</t>
  </si>
  <si>
    <t>Y18-Y19</t>
  </si>
  <si>
    <t>Y19-Y20</t>
  </si>
  <si>
    <t>310-2-2-3 D800Ⅱ级钢筋砼雨水管 数量计算表</t>
  </si>
  <si>
    <t>Y1-Y2</t>
  </si>
  <si>
    <t>Y2-Y3</t>
  </si>
  <si>
    <t>Y3-Y4</t>
  </si>
  <si>
    <t>Y4-Y5</t>
  </si>
  <si>
    <t>310-2-3-2 球墨铸铁给水管（DN200) 数量计算表</t>
  </si>
  <si>
    <t>第二测PS3-5-2</t>
  </si>
  <si>
    <t>310-3 中央分隔带渗沟 数量计算表</t>
  </si>
  <si>
    <t>核算数量（M)</t>
  </si>
  <si>
    <t>图纸数量（M)</t>
  </si>
  <si>
    <t>310-4 集水井 数量计算表</t>
  </si>
  <si>
    <t>核算数量（个 )</t>
  </si>
  <si>
    <t>图纸数量（个)</t>
  </si>
  <si>
    <t>310-5-1 矩形钢筋砼（内空1.1×1.1m）检查井数量计算表</t>
  </si>
  <si>
    <t>核算数量（个)</t>
  </si>
  <si>
    <t>C、D匝道</t>
  </si>
  <si>
    <t>310-5-2 矩形钢筋砼（内空1.25×1.25）检查井数量计算表</t>
  </si>
  <si>
    <t>D匝道</t>
  </si>
  <si>
    <t>310-10-1 砖砌单篦雨水口数量计算表</t>
  </si>
  <si>
    <t>C/D匝道</t>
  </si>
  <si>
    <t>第二册PS3-1 第二册PS3-5-1</t>
  </si>
  <si>
    <t>310-13-1 砂砾（碎石）透水层路肩排水数量计算表</t>
  </si>
  <si>
    <t>310-13-2 透水土工布 路肩排水 数量计算表</t>
  </si>
  <si>
    <t>310-13-5 防渗土工布 路肩排水 数量计算表</t>
  </si>
  <si>
    <t>310-15 流水槽 数量计算表</t>
  </si>
  <si>
    <t>K6+292-K6+800</t>
  </si>
  <si>
    <t>K7+110-K7+390</t>
  </si>
  <si>
    <t>310-16 急流槽 数量计算表</t>
  </si>
</sst>
</file>

<file path=xl/styles.xml><?xml version="1.0" encoding="utf-8"?>
<styleSheet xmlns="http://schemas.openxmlformats.org/spreadsheetml/2006/main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 "/>
    <numFmt numFmtId="179" formatCode="0.000_ "/>
    <numFmt numFmtId="180" formatCode="0_);[Red]\(0\)"/>
    <numFmt numFmtId="181" formatCode="0.00_);[Red]\(0.00\)"/>
  </numFmts>
  <fonts count="48">
    <font>
      <sz val="11"/>
      <color theme="1"/>
      <name val="宋体"/>
      <charset val="134"/>
      <scheme val="minor"/>
    </font>
    <font>
      <b/>
      <sz val="16"/>
      <color indexed="8"/>
      <name val="宋体"/>
      <charset val="134"/>
    </font>
    <font>
      <b/>
      <sz val="9"/>
      <color indexed="8"/>
      <name val="宋体"/>
      <charset val="134"/>
    </font>
    <font>
      <b/>
      <sz val="9"/>
      <color rgb="FF000000"/>
      <name val="宋体"/>
      <charset val="134"/>
    </font>
    <font>
      <sz val="9"/>
      <color indexed="8"/>
      <name val="宋体"/>
      <charset val="134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sz val="11"/>
      <color indexed="8"/>
      <name val="宋体"/>
      <charset val="134"/>
    </font>
    <font>
      <sz val="11"/>
      <color theme="0"/>
      <name val="宋体"/>
      <charset val="134"/>
      <scheme val="minor"/>
    </font>
    <font>
      <sz val="9"/>
      <name val="宋体"/>
      <charset val="134"/>
      <scheme val="minor"/>
    </font>
    <font>
      <b/>
      <sz val="11"/>
      <color rgb="FF000000"/>
      <name val="宋体"/>
      <charset val="134"/>
    </font>
    <font>
      <b/>
      <sz val="10"/>
      <color indexed="8"/>
      <name val="宋体"/>
      <charset val="134"/>
    </font>
    <font>
      <b/>
      <sz val="10"/>
      <color rgb="FF000000"/>
      <name val="宋体"/>
      <charset val="134"/>
    </font>
    <font>
      <sz val="10"/>
      <color theme="1"/>
      <name val="宋体"/>
      <charset val="134"/>
      <scheme val="minor"/>
    </font>
    <font>
      <sz val="8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</font>
    <font>
      <b/>
      <sz val="8"/>
      <name val="宋体"/>
      <charset val="134"/>
    </font>
    <font>
      <sz val="8"/>
      <name val="宋体"/>
      <charset val="134"/>
    </font>
    <font>
      <sz val="8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0"/>
      <name val="Arial"/>
      <charset val="134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11"/>
      <color theme="1"/>
      <name val="Tahoma"/>
      <charset val="134"/>
    </font>
    <font>
      <sz val="10"/>
      <name val="Helv"/>
      <charset val="134"/>
    </font>
    <font>
      <b/>
      <vertAlign val="superscript"/>
      <sz val="9"/>
      <color rgb="FF000000"/>
      <name val="宋体"/>
      <charset val="134"/>
    </font>
    <font>
      <b/>
      <vertAlign val="superscript"/>
      <sz val="11"/>
      <color rgb="FF000000"/>
      <name val="宋体"/>
      <charset val="134"/>
    </font>
    <font>
      <b/>
      <vertAlign val="superscript"/>
      <sz val="10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4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0" fillId="0" borderId="0">
      <alignment vertical="center"/>
    </xf>
    <xf numFmtId="0" fontId="25" fillId="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0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34" fillId="12" borderId="13" applyNumberFormat="0" applyAlignment="0" applyProtection="0">
      <alignment vertical="center"/>
    </xf>
    <xf numFmtId="0" fontId="35" fillId="12" borderId="9" applyNumberFormat="0" applyAlignment="0" applyProtection="0">
      <alignment vertical="center"/>
    </xf>
    <xf numFmtId="0" fontId="36" fillId="0" borderId="0"/>
    <xf numFmtId="0" fontId="37" fillId="13" borderId="14" applyNumberFormat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6" fillId="0" borderId="0"/>
    <xf numFmtId="0" fontId="25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42" fillId="0" borderId="0">
      <alignment vertical="center"/>
    </xf>
    <xf numFmtId="0" fontId="25" fillId="28" borderId="0" applyNumberFormat="0" applyBorder="0" applyAlignment="0" applyProtection="0">
      <alignment vertical="center"/>
    </xf>
    <xf numFmtId="0" fontId="36" fillId="0" borderId="0"/>
    <xf numFmtId="0" fontId="22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42" fillId="0" borderId="0">
      <alignment vertical="center"/>
    </xf>
    <xf numFmtId="0" fontId="25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43" fillId="0" borderId="0"/>
    <xf numFmtId="0" fontId="36" fillId="0" borderId="0"/>
    <xf numFmtId="0" fontId="42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0" borderId="0"/>
    <xf numFmtId="0" fontId="0" fillId="0" borderId="0">
      <alignment vertical="center"/>
    </xf>
    <xf numFmtId="0" fontId="44" fillId="0" borderId="0"/>
    <xf numFmtId="0" fontId="4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</cellStyleXfs>
  <cellXfs count="1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59" applyFont="1" applyBorder="1" applyAlignment="1">
      <alignment horizontal="center" vertical="center"/>
    </xf>
    <xf numFmtId="0" fontId="5" fillId="0" borderId="1" xfId="59" applyFont="1" applyFill="1" applyBorder="1" applyAlignment="1">
      <alignment horizontal="center" vertical="center"/>
    </xf>
    <xf numFmtId="0" fontId="6" fillId="0" borderId="1" xfId="59" applyFont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5" fillId="2" borderId="1" xfId="59" applyFont="1" applyFill="1" applyBorder="1" applyAlignment="1">
      <alignment horizontal="center" vertical="center"/>
    </xf>
    <xf numFmtId="0" fontId="6" fillId="0" borderId="3" xfId="59" applyFont="1" applyBorder="1" applyAlignment="1">
      <alignment vertical="center" wrapText="1"/>
    </xf>
    <xf numFmtId="0" fontId="6" fillId="0" borderId="7" xfId="59" applyFont="1" applyBorder="1" applyAlignment="1">
      <alignment vertical="center" wrapText="1"/>
    </xf>
    <xf numFmtId="0" fontId="6" fillId="0" borderId="6" xfId="59" applyFont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Fill="1">
      <alignment vertical="center"/>
    </xf>
    <xf numFmtId="178" fontId="0" fillId="0" borderId="0" xfId="0" applyNumberFormat="1" applyFill="1">
      <alignment vertical="center"/>
    </xf>
    <xf numFmtId="178" fontId="1" fillId="0" borderId="0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1" xfId="60" applyFont="1" applyFill="1" applyBorder="1" applyAlignment="1">
      <alignment horizontal="center" vertical="center"/>
    </xf>
    <xf numFmtId="0" fontId="9" fillId="0" borderId="1" xfId="23" applyFont="1" applyFill="1" applyBorder="1" applyAlignment="1">
      <alignment horizontal="center" vertical="center" wrapText="1"/>
    </xf>
    <xf numFmtId="0" fontId="10" fillId="0" borderId="0" xfId="0" applyFont="1" applyFill="1">
      <alignment vertical="center"/>
    </xf>
    <xf numFmtId="0" fontId="0" fillId="0" borderId="1" xfId="23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5" fillId="0" borderId="0" xfId="59" applyFont="1" applyAlignment="1">
      <alignment horizontal="center" vertical="center"/>
    </xf>
    <xf numFmtId="0" fontId="0" fillId="0" borderId="1" xfId="56" applyFill="1" applyBorder="1" applyAlignment="1">
      <alignment horizontal="center" vertical="center"/>
    </xf>
    <xf numFmtId="0" fontId="0" fillId="0" borderId="1" xfId="56" applyBorder="1" applyAlignment="1">
      <alignment horizontal="center" vertical="center"/>
    </xf>
    <xf numFmtId="0" fontId="6" fillId="0" borderId="1" xfId="59" applyFont="1" applyBorder="1" applyAlignment="1">
      <alignment horizontal="center" vertical="center" wrapText="1"/>
    </xf>
    <xf numFmtId="0" fontId="6" fillId="0" borderId="3" xfId="59" applyFont="1" applyBorder="1" applyAlignment="1">
      <alignment horizontal="center" vertical="center" wrapText="1"/>
    </xf>
    <xf numFmtId="0" fontId="6" fillId="0" borderId="7" xfId="59" applyFont="1" applyBorder="1" applyAlignment="1">
      <alignment horizontal="center" vertical="center" wrapText="1"/>
    </xf>
    <xf numFmtId="0" fontId="6" fillId="0" borderId="6" xfId="59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/>
    </xf>
    <xf numFmtId="176" fontId="4" fillId="0" borderId="6" xfId="0" applyNumberFormat="1" applyFont="1" applyFill="1" applyBorder="1" applyAlignment="1">
      <alignment horizontal="center" vertical="center"/>
    </xf>
    <xf numFmtId="179" fontId="0" fillId="0" borderId="0" xfId="0" applyNumberFormat="1" applyFill="1">
      <alignment vertical="center"/>
    </xf>
    <xf numFmtId="179" fontId="1" fillId="0" borderId="0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 wrapText="1"/>
    </xf>
    <xf numFmtId="179" fontId="4" fillId="0" borderId="1" xfId="0" applyNumberFormat="1" applyFont="1" applyFill="1" applyBorder="1" applyAlignment="1">
      <alignment horizontal="center" vertical="center"/>
    </xf>
    <xf numFmtId="179" fontId="4" fillId="0" borderId="3" xfId="0" applyNumberFormat="1" applyFont="1" applyFill="1" applyBorder="1" applyAlignment="1">
      <alignment horizontal="center" vertical="center"/>
    </xf>
    <xf numFmtId="179" fontId="4" fillId="0" borderId="6" xfId="0" applyNumberFormat="1" applyFont="1" applyFill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5" fillId="0" borderId="0" xfId="0" applyFont="1" applyFill="1">
      <alignment vertical="center"/>
    </xf>
    <xf numFmtId="178" fontId="5" fillId="0" borderId="0" xfId="0" applyNumberFormat="1" applyFont="1" applyFill="1">
      <alignment vertical="center"/>
    </xf>
    <xf numFmtId="178" fontId="12" fillId="0" borderId="1" xfId="0" applyNumberFormat="1" applyFont="1" applyFill="1" applyBorder="1" applyAlignment="1">
      <alignment horizontal="center" vertical="center" wrapText="1"/>
    </xf>
    <xf numFmtId="177" fontId="5" fillId="0" borderId="1" xfId="59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178" fontId="11" fillId="0" borderId="0" xfId="0" applyNumberFormat="1" applyFont="1" applyFill="1" applyBorder="1" applyAlignment="1">
      <alignment horizontal="center" vertical="center"/>
    </xf>
    <xf numFmtId="178" fontId="4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right" vertical="center"/>
    </xf>
    <xf numFmtId="178" fontId="4" fillId="0" borderId="0" xfId="0" applyNumberFormat="1" applyFont="1" applyFill="1" applyBorder="1" applyAlignment="1">
      <alignment horizontal="left" vertical="center"/>
    </xf>
    <xf numFmtId="180" fontId="5" fillId="0" borderId="0" xfId="0" applyNumberFormat="1" applyFont="1">
      <alignment vertical="center"/>
    </xf>
    <xf numFmtId="180" fontId="12" fillId="0" borderId="1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5" fillId="0" borderId="6" xfId="59" applyFont="1" applyFill="1" applyBorder="1" applyAlignment="1">
      <alignment horizontal="center" vertical="center"/>
    </xf>
    <xf numFmtId="180" fontId="4" fillId="0" borderId="6" xfId="0" applyNumberFormat="1" applyFont="1" applyFill="1" applyBorder="1" applyAlignment="1">
      <alignment horizontal="center" vertical="center"/>
    </xf>
    <xf numFmtId="0" fontId="5" fillId="0" borderId="7" xfId="59" applyFont="1" applyBorder="1" applyAlignment="1">
      <alignment horizontal="center" vertical="center"/>
    </xf>
    <xf numFmtId="180" fontId="4" fillId="0" borderId="1" xfId="0" applyNumberFormat="1" applyFont="1" applyFill="1" applyBorder="1" applyAlignment="1">
      <alignment horizontal="center" vertical="center"/>
    </xf>
    <xf numFmtId="0" fontId="5" fillId="0" borderId="6" xfId="59" applyFon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0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80" fontId="11" fillId="0" borderId="0" xfId="0" applyNumberFormat="1" applyFont="1" applyFill="1" applyBorder="1" applyAlignment="1">
      <alignment horizontal="center" vertical="center"/>
    </xf>
    <xf numFmtId="180" fontId="4" fillId="0" borderId="0" xfId="0" applyNumberFormat="1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9" fillId="0" borderId="1" xfId="60" applyFont="1" applyFill="1" applyBorder="1" applyAlignment="1">
      <alignment horizontal="center" vertical="center" wrapText="1"/>
    </xf>
    <xf numFmtId="181" fontId="4" fillId="0" borderId="1" xfId="0" applyNumberFormat="1" applyFont="1" applyFill="1" applyBorder="1" applyAlignment="1">
      <alignment horizontal="center" vertical="center"/>
    </xf>
    <xf numFmtId="0" fontId="15" fillId="0" borderId="1" xfId="59" applyFont="1" applyBorder="1" applyAlignment="1">
      <alignment horizontal="center" vertical="center"/>
    </xf>
    <xf numFmtId="0" fontId="5" fillId="0" borderId="1" xfId="59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8" fillId="0" borderId="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1" xfId="60" applyFont="1" applyBorder="1" applyAlignment="1">
      <alignment horizontal="center" vertical="center" wrapText="1"/>
    </xf>
    <xf numFmtId="0" fontId="20" fillId="0" borderId="1" xfId="78" applyFont="1" applyBorder="1" applyAlignment="1">
      <alignment horizontal="center" vertical="center" wrapText="1"/>
    </xf>
    <xf numFmtId="0" fontId="20" fillId="0" borderId="1" xfId="78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16" fillId="0" borderId="1" xfId="0" applyFont="1" applyBorder="1">
      <alignment vertical="center"/>
    </xf>
    <xf numFmtId="0" fontId="20" fillId="0" borderId="1" xfId="79" applyFont="1" applyBorder="1" applyAlignment="1">
      <alignment horizontal="center" vertical="center" wrapText="1"/>
    </xf>
    <xf numFmtId="0" fontId="20" fillId="0" borderId="1" xfId="79" applyFont="1" applyBorder="1" applyAlignment="1">
      <alignment horizontal="left" vertical="center" wrapText="1"/>
    </xf>
    <xf numFmtId="0" fontId="20" fillId="0" borderId="1" xfId="76" applyFont="1" applyBorder="1" applyAlignment="1">
      <alignment horizontal="center" vertical="center" wrapText="1"/>
    </xf>
    <xf numFmtId="0" fontId="20" fillId="0" borderId="1" xfId="76" applyFont="1" applyBorder="1" applyAlignment="1">
      <alignment horizontal="left" vertical="center" wrapText="1"/>
    </xf>
    <xf numFmtId="0" fontId="20" fillId="0" borderId="1" xfId="80" applyFont="1" applyBorder="1" applyAlignment="1">
      <alignment horizontal="center" vertical="center" wrapText="1"/>
    </xf>
    <xf numFmtId="0" fontId="20" fillId="0" borderId="1" xfId="80" applyFont="1" applyBorder="1" applyAlignment="1">
      <alignment horizontal="left" vertical="center" wrapText="1"/>
    </xf>
    <xf numFmtId="0" fontId="20" fillId="0" borderId="1" xfId="81" applyFont="1" applyBorder="1" applyAlignment="1">
      <alignment horizontal="center" vertical="center" wrapText="1"/>
    </xf>
    <xf numFmtId="0" fontId="20" fillId="0" borderId="1" xfId="81" applyFont="1" applyBorder="1" applyAlignment="1">
      <alignment horizontal="left" vertical="center" wrapText="1"/>
    </xf>
    <xf numFmtId="0" fontId="20" fillId="0" borderId="1" xfId="77" applyFont="1" applyBorder="1" applyAlignment="1">
      <alignment horizontal="center" vertical="center" wrapText="1"/>
    </xf>
    <xf numFmtId="0" fontId="20" fillId="0" borderId="1" xfId="77" applyFont="1" applyBorder="1" applyAlignment="1">
      <alignment horizontal="left" vertical="center" wrapText="1"/>
    </xf>
    <xf numFmtId="0" fontId="20" fillId="0" borderId="1" xfId="75" applyFont="1" applyBorder="1" applyAlignment="1">
      <alignment horizontal="center" vertical="center" wrapText="1"/>
    </xf>
    <xf numFmtId="0" fontId="20" fillId="0" borderId="1" xfId="75" applyFont="1" applyBorder="1" applyAlignment="1">
      <alignment horizontal="left" vertical="center" wrapText="1"/>
    </xf>
    <xf numFmtId="0" fontId="20" fillId="0" borderId="1" xfId="30" applyFont="1" applyBorder="1" applyAlignment="1">
      <alignment horizontal="left" vertical="center" wrapText="1"/>
    </xf>
    <xf numFmtId="0" fontId="20" fillId="0" borderId="1" xfId="30" applyFont="1" applyBorder="1" applyAlignment="1">
      <alignment horizontal="center" vertical="center" wrapText="1"/>
    </xf>
    <xf numFmtId="0" fontId="20" fillId="0" borderId="1" xfId="82" applyFont="1" applyBorder="1" applyAlignment="1">
      <alignment horizontal="center" vertical="center" wrapText="1"/>
    </xf>
    <xf numFmtId="0" fontId="20" fillId="0" borderId="1" xfId="82" applyFont="1" applyBorder="1" applyAlignment="1">
      <alignment horizontal="left" vertical="center" wrapText="1"/>
    </xf>
    <xf numFmtId="0" fontId="21" fillId="0" borderId="1" xfId="82" applyFont="1" applyBorder="1" applyAlignment="1">
      <alignment horizontal="left" vertical="center" wrapText="1"/>
    </xf>
  </cellXfs>
  <cellStyles count="8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常规 6" xfId="14"/>
    <cellStyle name="60% - 强调文字颜色 2" xfId="15" builtinId="36"/>
    <cellStyle name="标题 4" xfId="16" builtinId="19"/>
    <cellStyle name="警告文本" xfId="17" builtinId="11"/>
    <cellStyle name="标题" xfId="18" builtinId="15"/>
    <cellStyle name="常规 5 2" xfId="19"/>
    <cellStyle name="解释性文本" xfId="20" builtinId="53"/>
    <cellStyle name="标题 1" xfId="21" builtinId="16"/>
    <cellStyle name="标题 2" xfId="22" builtinId="17"/>
    <cellStyle name="常规 5 2 2" xfId="23"/>
    <cellStyle name="标题 3" xfId="24" builtinId="18"/>
    <cellStyle name="常规 5 2 3" xfId="25"/>
    <cellStyle name="60% - 强调文字颜色 1" xfId="26" builtinId="32"/>
    <cellStyle name="60% - 强调文字颜色 4" xfId="27" builtinId="44"/>
    <cellStyle name="输出" xfId="28" builtinId="21"/>
    <cellStyle name="计算" xfId="29" builtinId="22"/>
    <cellStyle name="常规 26" xfId="30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汇总" xfId="35" builtinId="25"/>
    <cellStyle name="好" xfId="36" builtinId="26"/>
    <cellStyle name="适中" xfId="37" builtinId="28"/>
    <cellStyle name="20% - 强调文字颜色 5" xfId="38" builtinId="46"/>
    <cellStyle name="强调文字颜色 1" xfId="39" builtinId="29"/>
    <cellStyle name="20% - 强调文字颜色 1" xfId="40" builtinId="30"/>
    <cellStyle name="40% - 强调文字颜色 1" xfId="41" builtinId="31"/>
    <cellStyle name="20% - 强调文字颜色 2" xfId="42" builtinId="34"/>
    <cellStyle name="40% - 强调文字颜色 2" xfId="43" builtinId="35"/>
    <cellStyle name="强调文字颜色 3" xfId="44" builtinId="37"/>
    <cellStyle name="常规 3 2" xfId="45"/>
    <cellStyle name="强调文字颜色 4" xfId="46" builtinId="41"/>
    <cellStyle name="20% - 强调文字颜色 4" xfId="47" builtinId="42"/>
    <cellStyle name="40% - 强调文字颜色 4" xfId="48" builtinId="43"/>
    <cellStyle name="常规 3 3" xfId="49"/>
    <cellStyle name="强调文字颜色 5" xfId="50" builtinId="45"/>
    <cellStyle name="常规 2 2" xfId="51"/>
    <cellStyle name="40% - 强调文字颜色 5" xfId="52" builtinId="47"/>
    <cellStyle name="60% - 强调文字颜色 5" xfId="53" builtinId="48"/>
    <cellStyle name="常规 3 4" xfId="54"/>
    <cellStyle name="强调文字颜色 6" xfId="55" builtinId="49"/>
    <cellStyle name="常规 10" xfId="56"/>
    <cellStyle name="40% - 强调文字颜色 6" xfId="57" builtinId="51"/>
    <cellStyle name="60% - 强调文字颜色 6" xfId="58" builtinId="52"/>
    <cellStyle name="常规 11" xfId="59"/>
    <cellStyle name="常规 2" xfId="60"/>
    <cellStyle name="常规 3" xfId="61"/>
    <cellStyle name="常规 3 5" xfId="62"/>
    <cellStyle name="常规 3 6" xfId="63"/>
    <cellStyle name="常规 4" xfId="64"/>
    <cellStyle name="常规 4 2" xfId="65"/>
    <cellStyle name="常规 5" xfId="66"/>
    <cellStyle name="常规 6 2" xfId="67"/>
    <cellStyle name="常规 6 3" xfId="68"/>
    <cellStyle name="常规 7" xfId="69"/>
    <cellStyle name="常规 7 2" xfId="70"/>
    <cellStyle name="常规 8" xfId="71"/>
    <cellStyle name="常规 9" xfId="72"/>
    <cellStyle name="常规_杭金衢新岭隧道拓宽报价清单2012.6.4" xfId="73"/>
    <cellStyle name="样式 1" xfId="74"/>
    <cellStyle name="常规 25" xfId="75"/>
    <cellStyle name="常规 21" xfId="76"/>
    <cellStyle name="常规 24" xfId="77"/>
    <cellStyle name="常规 19" xfId="78"/>
    <cellStyle name="常规 20" xfId="79"/>
    <cellStyle name="常规 22" xfId="80"/>
    <cellStyle name="常规 23" xfId="81"/>
    <cellStyle name="常规 27" xfId="8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1" Type="http://schemas.openxmlformats.org/officeDocument/2006/relationships/sharedStrings" Target="sharedStrings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theme" Target="theme/theme1.xml"/><Relationship Id="rId38" Type="http://schemas.openxmlformats.org/officeDocument/2006/relationships/externalLink" Target="externalLinks/externalLink1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314;&#37329;&#24037;&#31243;&#37327;&#32479;&#35745;\&#38567;&#36947;&#24037;&#31243;&#37327;&#32479;&#35745;\&#26477;&#37329;&#34914;&#19968;&#26631;&#24037;&#31243;&#37327;&#22797;&#26680;\&#31532;500&#31456;&#38567;&#36947;\&#30465;&#20132;&#24037;&#25237;&#26631;&#25991;&#20214;\&#25104;&#26412;&#20998;&#26512;&#65288;&#25346;&#31726;&#65292;&#38075;&#23380;&#24179;&#21488;&#31561;&#65289;&#24037;&#22320;&#27979;&#3163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00章"/>
      <sheetName val="200章"/>
      <sheetName val="300章"/>
      <sheetName val="400章"/>
      <sheetName val="暂估价"/>
      <sheetName val="汇总表"/>
      <sheetName val="钢绞线"/>
      <sheetName val="护筒、平台(30t)"/>
      <sheetName val="平台（75t)"/>
      <sheetName val="水中承台施工"/>
      <sheetName val="支架箱梁"/>
      <sheetName val="砼拌合站建设"/>
      <sheetName val="砼配比"/>
      <sheetName val="材料单价"/>
      <sheetName val="钻孔桩分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F75"/>
  <sheetViews>
    <sheetView workbookViewId="0">
      <pane xSplit="6" ySplit="2" topLeftCell="G53" activePane="bottomRight" state="frozen"/>
      <selection/>
      <selection pane="topRight"/>
      <selection pane="bottomLeft"/>
      <selection pane="bottomRight" activeCell="D72" sqref="D72"/>
    </sheetView>
  </sheetViews>
  <sheetFormatPr defaultColWidth="9" defaultRowHeight="13.5" outlineLevelCol="5"/>
  <cols>
    <col min="1" max="1" width="9" style="96"/>
    <col min="2" max="2" width="38.125" style="97" customWidth="1"/>
    <col min="3" max="3" width="7.75" style="96" customWidth="1"/>
    <col min="4" max="4" width="8.625" style="96" customWidth="1"/>
    <col min="5" max="6" width="8.625" style="97" customWidth="1"/>
    <col min="7" max="16384" width="9" style="97"/>
  </cols>
  <sheetData>
    <row r="1" ht="30.75" customHeight="1" spans="1:6">
      <c r="A1" s="98" t="s">
        <v>0</v>
      </c>
      <c r="B1" s="99"/>
      <c r="C1" s="99"/>
      <c r="D1" s="99"/>
      <c r="E1" s="99"/>
      <c r="F1" s="99"/>
    </row>
    <row r="2" s="95" customFormat="1" ht="36.75" customHeight="1" spans="1:6">
      <c r="A2" s="100" t="s">
        <v>1</v>
      </c>
      <c r="B2" s="100" t="s">
        <v>2</v>
      </c>
      <c r="C2" s="100" t="s">
        <v>3</v>
      </c>
      <c r="D2" s="100" t="s">
        <v>4</v>
      </c>
      <c r="E2" s="100" t="s">
        <v>5</v>
      </c>
      <c r="F2" s="100" t="s">
        <v>6</v>
      </c>
    </row>
    <row r="3" s="95" customFormat="1" ht="21.75" customHeight="1" spans="1:6">
      <c r="A3" s="101" t="s">
        <v>7</v>
      </c>
      <c r="B3" s="102" t="s">
        <v>8</v>
      </c>
      <c r="C3" s="101"/>
      <c r="D3" s="103"/>
      <c r="E3" s="104"/>
      <c r="F3" s="105"/>
    </row>
    <row r="4" s="95" customFormat="1" ht="21.75" customHeight="1" spans="1:6">
      <c r="A4" s="101" t="s">
        <v>9</v>
      </c>
      <c r="B4" s="102" t="s">
        <v>10</v>
      </c>
      <c r="C4" s="101"/>
      <c r="D4" s="103"/>
      <c r="E4" s="104"/>
      <c r="F4" s="105"/>
    </row>
    <row r="5" s="95" customFormat="1" ht="21.75" customHeight="1" spans="1:6">
      <c r="A5" s="101" t="s">
        <v>11</v>
      </c>
      <c r="B5" s="102" t="s">
        <v>12</v>
      </c>
      <c r="C5" s="101" t="s">
        <v>13</v>
      </c>
      <c r="D5" s="103">
        <f>'302-1-3厚150mm 级配碎石垫层'!E21</f>
        <v>9254</v>
      </c>
      <c r="E5" s="104"/>
      <c r="F5" s="105"/>
    </row>
    <row r="6" s="95" customFormat="1" ht="21.75" customHeight="1" spans="1:6">
      <c r="A6" s="106" t="s">
        <v>14</v>
      </c>
      <c r="B6" s="107" t="s">
        <v>15</v>
      </c>
      <c r="C6" s="106"/>
      <c r="D6" s="103"/>
      <c r="E6" s="104"/>
      <c r="F6" s="105"/>
    </row>
    <row r="7" s="95" customFormat="1" ht="21.75" customHeight="1" spans="1:6">
      <c r="A7" s="106" t="s">
        <v>16</v>
      </c>
      <c r="B7" s="107" t="s">
        <v>17</v>
      </c>
      <c r="C7" s="106" t="s">
        <v>13</v>
      </c>
      <c r="D7" s="103">
        <f>'302-8-7厚400mm素混凝土垫层'!D21</f>
        <v>1583.5</v>
      </c>
      <c r="E7" s="104"/>
      <c r="F7" s="105"/>
    </row>
    <row r="8" s="95" customFormat="1" ht="21.75" customHeight="1" spans="1:6">
      <c r="A8" s="106">
        <v>303</v>
      </c>
      <c r="B8" s="107" t="s">
        <v>18</v>
      </c>
      <c r="C8" s="106"/>
      <c r="D8" s="103"/>
      <c r="E8" s="105"/>
      <c r="F8" s="105"/>
    </row>
    <row r="9" s="95" customFormat="1" ht="21.75" customHeight="1" spans="1:6">
      <c r="A9" s="106" t="s">
        <v>19</v>
      </c>
      <c r="B9" s="107" t="s">
        <v>20</v>
      </c>
      <c r="C9" s="106"/>
      <c r="D9" s="103"/>
      <c r="E9" s="105"/>
      <c r="F9" s="105"/>
    </row>
    <row r="10" s="95" customFormat="1" ht="21.75" customHeight="1" spans="1:6">
      <c r="A10" s="106" t="s">
        <v>21</v>
      </c>
      <c r="B10" s="107" t="s">
        <v>22</v>
      </c>
      <c r="C10" s="106" t="s">
        <v>13</v>
      </c>
      <c r="D10" s="103">
        <f>'303-1-5 厚200mm水泥稳定碎石底基层'!F21</f>
        <v>381.4</v>
      </c>
      <c r="E10" s="105"/>
      <c r="F10" s="105"/>
    </row>
    <row r="11" s="95" customFormat="1" ht="21.75" customHeight="1" spans="1:6">
      <c r="A11" s="106" t="s">
        <v>23</v>
      </c>
      <c r="B11" s="107" t="s">
        <v>24</v>
      </c>
      <c r="C11" s="106" t="s">
        <v>13</v>
      </c>
      <c r="D11" s="103">
        <f>'303-1-8 厚340mm水泥稳定碎石底基层'!E28</f>
        <v>66702</v>
      </c>
      <c r="E11" s="105"/>
      <c r="F11" s="105"/>
    </row>
    <row r="12" s="95" customFormat="1" ht="21.75" customHeight="1" spans="1:6">
      <c r="A12" s="108" t="s">
        <v>25</v>
      </c>
      <c r="B12" s="109" t="s">
        <v>26</v>
      </c>
      <c r="C12" s="108"/>
      <c r="D12" s="103"/>
      <c r="E12" s="105"/>
      <c r="F12" s="105"/>
    </row>
    <row r="13" s="95" customFormat="1" ht="21.75" customHeight="1" spans="1:6">
      <c r="A13" s="110" t="s">
        <v>27</v>
      </c>
      <c r="B13" s="111" t="s">
        <v>22</v>
      </c>
      <c r="C13" s="106" t="s">
        <v>13</v>
      </c>
      <c r="D13" s="103">
        <f>'304-1-5 厚200mm 水泥稳定碎石基层 '!E35</f>
        <v>76243.378</v>
      </c>
      <c r="E13" s="105"/>
      <c r="F13" s="105"/>
    </row>
    <row r="14" s="95" customFormat="1" ht="21.75" customHeight="1" spans="1:6">
      <c r="A14" s="110">
        <v>305</v>
      </c>
      <c r="B14" s="111" t="s">
        <v>28</v>
      </c>
      <c r="C14" s="110"/>
      <c r="D14" s="103"/>
      <c r="E14" s="105"/>
      <c r="F14" s="105"/>
    </row>
    <row r="15" s="95" customFormat="1" ht="21.75" customHeight="1" spans="1:6">
      <c r="A15" s="112" t="s">
        <v>29</v>
      </c>
      <c r="B15" s="113" t="s">
        <v>30</v>
      </c>
      <c r="C15" s="112" t="s">
        <v>13</v>
      </c>
      <c r="D15" s="103">
        <f>'305-2 黏层'!E57</f>
        <v>183716.544</v>
      </c>
      <c r="E15" s="105"/>
      <c r="F15" s="105"/>
    </row>
    <row r="16" s="95" customFormat="1" ht="21.75" customHeight="1" spans="1:6">
      <c r="A16" s="112" t="s">
        <v>31</v>
      </c>
      <c r="B16" s="113" t="s">
        <v>32</v>
      </c>
      <c r="C16" s="112"/>
      <c r="D16" s="103"/>
      <c r="E16" s="105"/>
      <c r="F16" s="105"/>
    </row>
    <row r="17" s="95" customFormat="1" ht="21.75" customHeight="1" spans="1:6">
      <c r="A17" s="112" t="s">
        <v>33</v>
      </c>
      <c r="B17" s="113" t="s">
        <v>34</v>
      </c>
      <c r="C17" s="112" t="s">
        <v>13</v>
      </c>
      <c r="D17" s="103">
        <f>'305-3-6 下封层'!E34</f>
        <v>70396.378</v>
      </c>
      <c r="E17" s="105"/>
      <c r="F17" s="105"/>
    </row>
    <row r="18" s="95" customFormat="1" ht="21.75" customHeight="1" spans="1:6">
      <c r="A18" s="112" t="s">
        <v>35</v>
      </c>
      <c r="B18" s="113" t="s">
        <v>36</v>
      </c>
      <c r="C18" s="112" t="s">
        <v>13</v>
      </c>
      <c r="D18" s="103">
        <f>'305-5-5 防水黏结层 '!E28</f>
        <v>56929.42</v>
      </c>
      <c r="E18" s="105"/>
      <c r="F18" s="105"/>
    </row>
    <row r="19" s="95" customFormat="1" ht="21.75" customHeight="1" spans="1:6">
      <c r="A19" s="112" t="s">
        <v>37</v>
      </c>
      <c r="B19" s="113" t="s">
        <v>38</v>
      </c>
      <c r="C19" s="112"/>
      <c r="D19" s="103"/>
      <c r="E19" s="105"/>
      <c r="F19" s="105"/>
    </row>
    <row r="20" s="95" customFormat="1" ht="21.75" customHeight="1" spans="1:6">
      <c r="A20" s="112" t="s">
        <v>39</v>
      </c>
      <c r="B20" s="113" t="s">
        <v>40</v>
      </c>
      <c r="C20" s="112" t="s">
        <v>13</v>
      </c>
      <c r="D20" s="103">
        <f>'305-6-2 抛丸 '!E15</f>
        <v>55449.78</v>
      </c>
      <c r="E20" s="105"/>
      <c r="F20" s="105"/>
    </row>
    <row r="21" s="95" customFormat="1" ht="21.75" customHeight="1" spans="1:6">
      <c r="A21" s="112" t="s">
        <v>41</v>
      </c>
      <c r="B21" s="113" t="s">
        <v>42</v>
      </c>
      <c r="C21" s="112"/>
      <c r="D21" s="103"/>
      <c r="E21" s="105"/>
      <c r="F21" s="105"/>
    </row>
    <row r="22" s="95" customFormat="1" ht="21.75" customHeight="1" spans="1:6">
      <c r="A22" s="112" t="s">
        <v>43</v>
      </c>
      <c r="B22" s="113" t="s">
        <v>44</v>
      </c>
      <c r="C22" s="112"/>
      <c r="D22" s="103"/>
      <c r="E22" s="105"/>
      <c r="F22" s="105"/>
    </row>
    <row r="23" s="95" customFormat="1" ht="21.75" customHeight="1" spans="1:6">
      <c r="A23" s="112" t="s">
        <v>45</v>
      </c>
      <c r="B23" s="113" t="s">
        <v>46</v>
      </c>
      <c r="C23" s="112"/>
      <c r="D23" s="103"/>
      <c r="E23" s="105"/>
      <c r="F23" s="105"/>
    </row>
    <row r="24" s="95" customFormat="1" ht="21.75" customHeight="1" spans="1:6">
      <c r="A24" s="112" t="s">
        <v>47</v>
      </c>
      <c r="B24" s="113" t="s">
        <v>48</v>
      </c>
      <c r="C24" s="112" t="s">
        <v>13</v>
      </c>
      <c r="D24" s="103"/>
      <c r="E24" s="105"/>
      <c r="F24" s="105"/>
    </row>
    <row r="25" s="95" customFormat="1" ht="21.75" customHeight="1" spans="1:6">
      <c r="A25" s="112" t="s">
        <v>49</v>
      </c>
      <c r="B25" s="113" t="s">
        <v>50</v>
      </c>
      <c r="C25" s="112"/>
      <c r="D25" s="103"/>
      <c r="E25" s="105"/>
      <c r="F25" s="105"/>
    </row>
    <row r="26" s="95" customFormat="1" ht="21.75" customHeight="1" spans="1:6">
      <c r="A26" s="112" t="s">
        <v>51</v>
      </c>
      <c r="B26" s="113" t="s">
        <v>52</v>
      </c>
      <c r="C26" s="112" t="s">
        <v>13</v>
      </c>
      <c r="D26" s="103">
        <f>'306-1-3-4 厚80mm粗粒式沥青混凝土 '!E28</f>
        <v>58489.94</v>
      </c>
      <c r="E26" s="105"/>
      <c r="F26" s="105"/>
    </row>
    <row r="27" s="95" customFormat="1" ht="21.75" customHeight="1" spans="1:6">
      <c r="A27" s="112" t="s">
        <v>53</v>
      </c>
      <c r="B27" s="113" t="s">
        <v>54</v>
      </c>
      <c r="C27" s="112"/>
      <c r="D27" s="103"/>
      <c r="E27" s="105"/>
      <c r="F27" s="105"/>
    </row>
    <row r="28" s="95" customFormat="1" ht="21.75" customHeight="1" spans="1:6">
      <c r="A28" s="112" t="s">
        <v>55</v>
      </c>
      <c r="B28" s="113" t="s">
        <v>56</v>
      </c>
      <c r="C28" s="112"/>
      <c r="D28" s="103"/>
      <c r="E28" s="105"/>
      <c r="F28" s="105"/>
    </row>
    <row r="29" s="95" customFormat="1" ht="21.75" customHeight="1" spans="1:6">
      <c r="A29" s="112" t="s">
        <v>57</v>
      </c>
      <c r="B29" s="113" t="s">
        <v>48</v>
      </c>
      <c r="C29" s="112" t="s">
        <v>13</v>
      </c>
      <c r="D29" s="103">
        <f>'306-2-2-3 厚60mm中粒式沥青混凝土'!E55</f>
        <v>120392.24</v>
      </c>
      <c r="E29" s="105"/>
      <c r="F29" s="105"/>
    </row>
    <row r="30" s="95" customFormat="1" ht="21.75" customHeight="1" spans="1:6">
      <c r="A30" s="112" t="s">
        <v>58</v>
      </c>
      <c r="B30" s="113" t="s">
        <v>59</v>
      </c>
      <c r="C30" s="112" t="s">
        <v>13</v>
      </c>
      <c r="D30" s="103">
        <f>'306-2-2-5 厚140mm中粒式沥青混凝土 '!E21</f>
        <v>5048</v>
      </c>
      <c r="E30" s="105"/>
      <c r="F30" s="105"/>
    </row>
    <row r="31" s="95" customFormat="1" ht="21.75" customHeight="1" spans="1:6">
      <c r="A31" s="114" t="s">
        <v>60</v>
      </c>
      <c r="B31" s="115" t="s">
        <v>61</v>
      </c>
      <c r="C31" s="114"/>
      <c r="D31" s="103"/>
      <c r="E31" s="105"/>
      <c r="F31" s="105"/>
    </row>
    <row r="32" s="95" customFormat="1" ht="21.75" customHeight="1" spans="1:6">
      <c r="A32" s="114" t="s">
        <v>62</v>
      </c>
      <c r="B32" s="115" t="s">
        <v>63</v>
      </c>
      <c r="C32" s="114"/>
      <c r="D32" s="103"/>
      <c r="E32" s="105"/>
      <c r="F32" s="105"/>
    </row>
    <row r="33" s="95" customFormat="1" ht="21.75" customHeight="1" spans="1:6">
      <c r="A33" s="114" t="s">
        <v>64</v>
      </c>
      <c r="B33" s="115" t="s">
        <v>65</v>
      </c>
      <c r="C33" s="114" t="s">
        <v>13</v>
      </c>
      <c r="D33" s="103">
        <f>'306-3-1-2 厚40mm细粒式沥青玛蹄脂碎石混合料面层'!E57</f>
        <v>125033.83</v>
      </c>
      <c r="E33" s="105"/>
      <c r="F33" s="105"/>
    </row>
    <row r="34" s="95" customFormat="1" ht="21.75" customHeight="1" spans="1:6">
      <c r="A34" s="114" t="s">
        <v>66</v>
      </c>
      <c r="B34" s="115" t="s">
        <v>67</v>
      </c>
      <c r="C34" s="114"/>
      <c r="D34" s="103"/>
      <c r="E34" s="105"/>
      <c r="F34" s="105"/>
    </row>
    <row r="35" s="95" customFormat="1" ht="21.75" customHeight="1" spans="1:6">
      <c r="A35" s="114" t="s">
        <v>68</v>
      </c>
      <c r="B35" s="115" t="s">
        <v>69</v>
      </c>
      <c r="C35" s="114"/>
      <c r="D35" s="103"/>
      <c r="E35" s="105"/>
      <c r="F35" s="105"/>
    </row>
    <row r="36" s="95" customFormat="1" ht="21.75" customHeight="1" spans="1:6">
      <c r="A36" s="114" t="s">
        <v>70</v>
      </c>
      <c r="B36" s="115" t="s">
        <v>71</v>
      </c>
      <c r="C36" s="114" t="s">
        <v>72</v>
      </c>
      <c r="D36" s="103">
        <f>'307-1-1 C30混凝土水泥混凝土面层'!F21</f>
        <v>649.08</v>
      </c>
      <c r="E36" s="105"/>
      <c r="F36" s="105"/>
    </row>
    <row r="37" s="95" customFormat="1" ht="21.75" customHeight="1" spans="1:6">
      <c r="A37" s="114" t="s">
        <v>73</v>
      </c>
      <c r="B37" s="115" t="s">
        <v>74</v>
      </c>
      <c r="C37" s="114" t="s">
        <v>72</v>
      </c>
      <c r="D37" s="103">
        <f>'307-1-2 C35混凝土水泥混凝土面层 '!D21</f>
        <v>255</v>
      </c>
      <c r="E37" s="105"/>
      <c r="F37" s="105"/>
    </row>
    <row r="38" s="95" customFormat="1" ht="21.75" customHeight="1" spans="1:6">
      <c r="A38" s="114" t="s">
        <v>75</v>
      </c>
      <c r="B38" s="115" t="s">
        <v>76</v>
      </c>
      <c r="C38" s="114" t="s">
        <v>72</v>
      </c>
      <c r="D38" s="103">
        <f>'307-1-3 C25混凝土水泥混凝土面层'!F21</f>
        <v>4800</v>
      </c>
      <c r="E38" s="105"/>
      <c r="F38" s="105"/>
    </row>
    <row r="39" s="95" customFormat="1" ht="21.75" customHeight="1" spans="1:6">
      <c r="A39" s="114" t="s">
        <v>77</v>
      </c>
      <c r="B39" s="115" t="s">
        <v>78</v>
      </c>
      <c r="C39" s="114"/>
      <c r="D39" s="103"/>
      <c r="E39" s="105"/>
      <c r="F39" s="105"/>
    </row>
    <row r="40" s="95" customFormat="1" ht="21.75" customHeight="1" spans="1:6">
      <c r="A40" s="114" t="s">
        <v>79</v>
      </c>
      <c r="B40" s="115" t="s">
        <v>80</v>
      </c>
      <c r="C40" s="114" t="s">
        <v>81</v>
      </c>
      <c r="D40" s="103">
        <f>'307-2-2 带肋钢筋 '!D21</f>
        <v>1627.1</v>
      </c>
      <c r="E40" s="105"/>
      <c r="F40" s="105"/>
    </row>
    <row r="41" s="95" customFormat="1" ht="21.75" customHeight="1" spans="1:6">
      <c r="A41" s="116" t="s">
        <v>82</v>
      </c>
      <c r="B41" s="117" t="s">
        <v>83</v>
      </c>
      <c r="C41" s="116"/>
      <c r="D41" s="103"/>
      <c r="E41" s="105"/>
      <c r="F41" s="105"/>
    </row>
    <row r="42" s="95" customFormat="1" ht="21.75" customHeight="1" spans="1:6">
      <c r="A42" s="116" t="s">
        <v>84</v>
      </c>
      <c r="B42" s="117" t="s">
        <v>85</v>
      </c>
      <c r="C42" s="116" t="s">
        <v>72</v>
      </c>
      <c r="D42" s="103">
        <f>'309-1 路肩培土'!E41</f>
        <v>3100.7</v>
      </c>
      <c r="E42" s="105"/>
      <c r="F42" s="105"/>
    </row>
    <row r="43" s="95" customFormat="1" ht="21.75" customHeight="1" spans="1:6">
      <c r="A43" s="116" t="s">
        <v>86</v>
      </c>
      <c r="B43" s="118" t="s">
        <v>87</v>
      </c>
      <c r="C43" s="119"/>
      <c r="D43" s="103"/>
      <c r="E43" s="105"/>
      <c r="F43" s="105"/>
    </row>
    <row r="44" s="95" customFormat="1" ht="21.75" customHeight="1" spans="1:6">
      <c r="A44" s="116" t="s">
        <v>88</v>
      </c>
      <c r="B44" s="118" t="s">
        <v>89</v>
      </c>
      <c r="C44" s="119"/>
      <c r="D44" s="103"/>
      <c r="E44" s="105"/>
      <c r="F44" s="105"/>
    </row>
    <row r="45" s="95" customFormat="1" ht="21.75" customHeight="1" spans="1:6">
      <c r="A45" s="116" t="s">
        <v>90</v>
      </c>
      <c r="B45" s="118" t="s">
        <v>91</v>
      </c>
      <c r="C45" s="116" t="s">
        <v>92</v>
      </c>
      <c r="D45" s="103">
        <f>'309-4-2-3 C30混凝土预制砼平石'!C21</f>
        <v>2925</v>
      </c>
      <c r="E45" s="105"/>
      <c r="F45" s="105"/>
    </row>
    <row r="46" s="95" customFormat="1" ht="21.75" customHeight="1" spans="1:6">
      <c r="A46" s="119" t="s">
        <v>93</v>
      </c>
      <c r="B46" s="118" t="s">
        <v>94</v>
      </c>
      <c r="C46" s="119"/>
      <c r="D46" s="103"/>
      <c r="E46" s="105"/>
      <c r="F46" s="105"/>
    </row>
    <row r="47" s="95" customFormat="1" ht="21.75" customHeight="1" spans="1:6">
      <c r="A47" s="119" t="s">
        <v>95</v>
      </c>
      <c r="B47" s="118" t="s">
        <v>96</v>
      </c>
      <c r="C47" s="119"/>
      <c r="D47" s="103"/>
      <c r="E47" s="105"/>
      <c r="F47" s="105"/>
    </row>
    <row r="48" s="95" customFormat="1" ht="21.75" customHeight="1" spans="1:6">
      <c r="A48" s="119" t="s">
        <v>97</v>
      </c>
      <c r="B48" s="118" t="s">
        <v>98</v>
      </c>
      <c r="C48" s="119"/>
      <c r="D48" s="103"/>
      <c r="E48" s="105"/>
      <c r="F48" s="105"/>
    </row>
    <row r="49" s="95" customFormat="1" ht="21.75" customHeight="1" spans="1:6">
      <c r="A49" s="119" t="s">
        <v>99</v>
      </c>
      <c r="B49" s="118" t="s">
        <v>100</v>
      </c>
      <c r="C49" s="119" t="s">
        <v>92</v>
      </c>
      <c r="D49" s="103">
        <f>'310-1-1-2 D300mm混凝土排水管 '!C21</f>
        <v>198</v>
      </c>
      <c r="E49" s="105"/>
      <c r="F49" s="105"/>
    </row>
    <row r="50" s="95" customFormat="1" ht="21.75" customHeight="1" spans="1:6">
      <c r="A50" s="119" t="s">
        <v>101</v>
      </c>
      <c r="B50" s="118" t="s">
        <v>102</v>
      </c>
      <c r="C50" s="119"/>
      <c r="D50" s="103"/>
      <c r="E50" s="105"/>
      <c r="F50" s="105"/>
    </row>
    <row r="51" s="95" customFormat="1" ht="21.75" customHeight="1" spans="1:6">
      <c r="A51" s="119" t="s">
        <v>103</v>
      </c>
      <c r="B51" s="118" t="s">
        <v>104</v>
      </c>
      <c r="C51" s="119" t="s">
        <v>92</v>
      </c>
      <c r="D51" s="103">
        <f>'310-1-2-4 D110mmPVC排水管 '!C21</f>
        <v>368</v>
      </c>
      <c r="E51" s="105"/>
      <c r="F51" s="105"/>
    </row>
    <row r="52" s="95" customFormat="1" ht="21.75" customHeight="1" spans="1:6">
      <c r="A52" s="119" t="s">
        <v>105</v>
      </c>
      <c r="B52" s="118" t="s">
        <v>106</v>
      </c>
      <c r="C52" s="119"/>
      <c r="D52" s="103"/>
      <c r="E52" s="105"/>
      <c r="F52" s="105"/>
    </row>
    <row r="53" s="95" customFormat="1" ht="21.75" customHeight="1" spans="1:6">
      <c r="A53" s="119" t="s">
        <v>107</v>
      </c>
      <c r="B53" s="118" t="s">
        <v>108</v>
      </c>
      <c r="C53" s="119"/>
      <c r="D53" s="103"/>
      <c r="E53" s="105"/>
      <c r="F53" s="105"/>
    </row>
    <row r="54" s="95" customFormat="1" ht="21.75" customHeight="1" spans="1:6">
      <c r="A54" s="119" t="s">
        <v>109</v>
      </c>
      <c r="B54" s="118" t="s">
        <v>110</v>
      </c>
      <c r="C54" s="119" t="s">
        <v>92</v>
      </c>
      <c r="D54" s="103">
        <f>'310-2-2-1 D300Ⅱ级钢筋砼雨水管'!C21</f>
        <v>174</v>
      </c>
      <c r="E54" s="105"/>
      <c r="F54" s="105"/>
    </row>
    <row r="55" s="95" customFormat="1" ht="21.75" customHeight="1" spans="1:6">
      <c r="A55" s="119" t="s">
        <v>111</v>
      </c>
      <c r="B55" s="118" t="s">
        <v>112</v>
      </c>
      <c r="C55" s="119" t="s">
        <v>92</v>
      </c>
      <c r="D55" s="103">
        <f>'310-2-2-2 D600Ⅱ级钢筋砼雨水管'!C21</f>
        <v>466.52</v>
      </c>
      <c r="E55" s="105"/>
      <c r="F55" s="105"/>
    </row>
    <row r="56" s="95" customFormat="1" ht="21.75" customHeight="1" spans="1:6">
      <c r="A56" s="119" t="s">
        <v>113</v>
      </c>
      <c r="B56" s="118" t="s">
        <v>114</v>
      </c>
      <c r="C56" s="119" t="s">
        <v>92</v>
      </c>
      <c r="D56" s="103">
        <f>'310-2-2-3 D800Ⅱ级钢筋砼雨水管'!C21</f>
        <v>100.01</v>
      </c>
      <c r="E56" s="105"/>
      <c r="F56" s="105"/>
    </row>
    <row r="57" s="95" customFormat="1" ht="21.75" customHeight="1" spans="1:6">
      <c r="A57" s="119" t="s">
        <v>115</v>
      </c>
      <c r="B57" s="118" t="s">
        <v>116</v>
      </c>
      <c r="C57" s="119"/>
      <c r="D57" s="103"/>
      <c r="E57" s="105"/>
      <c r="F57" s="105"/>
    </row>
    <row r="58" s="95" customFormat="1" ht="21.75" customHeight="1" spans="1:6">
      <c r="A58" s="119" t="s">
        <v>117</v>
      </c>
      <c r="B58" s="118" t="s">
        <v>118</v>
      </c>
      <c r="C58" s="119" t="s">
        <v>92</v>
      </c>
      <c r="D58" s="103">
        <f>'310-2-3-2 球墨铸铁给水管（DN200)'!C21</f>
        <v>100</v>
      </c>
      <c r="E58" s="105"/>
      <c r="F58" s="105"/>
    </row>
    <row r="59" s="95" customFormat="1" ht="21.75" customHeight="1" spans="1:6">
      <c r="A59" s="119" t="s">
        <v>119</v>
      </c>
      <c r="B59" s="118" t="s">
        <v>120</v>
      </c>
      <c r="C59" s="119" t="s">
        <v>92</v>
      </c>
      <c r="D59" s="103">
        <f>'310-3 中央分隔带渗沟 '!C21</f>
        <v>1905</v>
      </c>
      <c r="E59" s="105"/>
      <c r="F59" s="105"/>
    </row>
    <row r="60" s="95" customFormat="1" ht="21.75" customHeight="1" spans="1:6">
      <c r="A60" s="119" t="s">
        <v>121</v>
      </c>
      <c r="B60" s="118" t="s">
        <v>122</v>
      </c>
      <c r="C60" s="119" t="s">
        <v>123</v>
      </c>
      <c r="D60" s="103">
        <f>'310-4 集水井 '!C21</f>
        <v>10</v>
      </c>
      <c r="E60" s="105"/>
      <c r="F60" s="105"/>
    </row>
    <row r="61" s="95" customFormat="1" ht="21.75" customHeight="1" spans="1:6">
      <c r="A61" s="119" t="s">
        <v>124</v>
      </c>
      <c r="B61" s="118" t="s">
        <v>125</v>
      </c>
      <c r="C61" s="119"/>
      <c r="D61" s="103"/>
      <c r="E61" s="105"/>
      <c r="F61" s="105"/>
    </row>
    <row r="62" s="95" customFormat="1" ht="21.75" customHeight="1" spans="1:6">
      <c r="A62" s="119" t="s">
        <v>126</v>
      </c>
      <c r="B62" s="118" t="s">
        <v>127</v>
      </c>
      <c r="C62" s="119" t="s">
        <v>123</v>
      </c>
      <c r="D62" s="103">
        <f>'310-5-1 矩形钢筋砼（内空1.1×1.1m）检查井'!C21</f>
        <v>15</v>
      </c>
      <c r="E62" s="105"/>
      <c r="F62" s="105"/>
    </row>
    <row r="63" s="95" customFormat="1" ht="21.75" customHeight="1" spans="1:6">
      <c r="A63" s="119" t="s">
        <v>128</v>
      </c>
      <c r="B63" s="118" t="s">
        <v>129</v>
      </c>
      <c r="C63" s="119" t="s">
        <v>123</v>
      </c>
      <c r="D63" s="103">
        <f>'310-5-2 矩形钢筋砼（内空1.25×1.25）检查井'!C21</f>
        <v>4</v>
      </c>
      <c r="E63" s="105"/>
      <c r="F63" s="105"/>
    </row>
    <row r="64" s="95" customFormat="1" ht="21.75" customHeight="1" spans="1:6">
      <c r="A64" s="119" t="s">
        <v>130</v>
      </c>
      <c r="B64" s="118" t="s">
        <v>131</v>
      </c>
      <c r="C64" s="119"/>
      <c r="D64" s="103"/>
      <c r="E64" s="105"/>
      <c r="F64" s="105"/>
    </row>
    <row r="65" s="95" customFormat="1" ht="21.75" customHeight="1" spans="1:6">
      <c r="A65" s="119" t="s">
        <v>132</v>
      </c>
      <c r="B65" s="118" t="s">
        <v>133</v>
      </c>
      <c r="C65" s="119" t="s">
        <v>123</v>
      </c>
      <c r="D65" s="103">
        <f>'310-10-1 砖砌单篦雨水口'!C21</f>
        <v>32</v>
      </c>
      <c r="E65" s="105"/>
      <c r="F65" s="105"/>
    </row>
    <row r="66" s="95" customFormat="1" ht="21.75" customHeight="1" spans="1:6">
      <c r="A66" s="120" t="s">
        <v>134</v>
      </c>
      <c r="B66" s="121" t="s">
        <v>135</v>
      </c>
      <c r="C66" s="120"/>
      <c r="D66" s="103"/>
      <c r="E66" s="105"/>
      <c r="F66" s="105"/>
    </row>
    <row r="67" s="95" customFormat="1" ht="21.75" customHeight="1" spans="1:6">
      <c r="A67" s="120" t="s">
        <v>136</v>
      </c>
      <c r="B67" s="122" t="s">
        <v>137</v>
      </c>
      <c r="C67" s="120" t="s">
        <v>13</v>
      </c>
      <c r="D67" s="103">
        <f>'310-13-1 砂砾（碎石）透水层 路肩排水 '!E39</f>
        <v>650.8</v>
      </c>
      <c r="E67" s="105"/>
      <c r="F67" s="105"/>
    </row>
    <row r="68" s="95" customFormat="1" ht="21.75" customHeight="1" spans="1:6">
      <c r="A68" s="120" t="s">
        <v>138</v>
      </c>
      <c r="B68" s="121" t="s">
        <v>139</v>
      </c>
      <c r="C68" s="120" t="s">
        <v>13</v>
      </c>
      <c r="D68" s="103">
        <f>'310-13-2 透水土工布 路肩排水 '!E39</f>
        <v>5620</v>
      </c>
      <c r="E68" s="105"/>
      <c r="F68" s="105"/>
    </row>
    <row r="69" s="95" customFormat="1" ht="21.75" customHeight="1" spans="1:6">
      <c r="A69" s="120" t="s">
        <v>140</v>
      </c>
      <c r="B69" s="121" t="s">
        <v>141</v>
      </c>
      <c r="C69" s="120" t="s">
        <v>13</v>
      </c>
      <c r="D69" s="103">
        <f>'310-13-5 防渗土工布 路肩排水'!E39</f>
        <v>5676.4</v>
      </c>
      <c r="E69" s="105"/>
      <c r="F69" s="105"/>
    </row>
    <row r="70" s="95" customFormat="1" ht="21.75" customHeight="1" spans="1:6">
      <c r="A70" s="119" t="s">
        <v>142</v>
      </c>
      <c r="B70" s="118" t="s">
        <v>143</v>
      </c>
      <c r="C70" s="119" t="s">
        <v>92</v>
      </c>
      <c r="D70" s="103">
        <f>'310-15 流水槽'!C21</f>
        <v>788</v>
      </c>
      <c r="E70" s="105"/>
      <c r="F70" s="105"/>
    </row>
    <row r="71" s="95" customFormat="1" ht="21.75" customHeight="1" spans="1:6">
      <c r="A71" s="119" t="s">
        <v>144</v>
      </c>
      <c r="B71" s="121" t="s">
        <v>145</v>
      </c>
      <c r="C71" s="119" t="s">
        <v>92</v>
      </c>
      <c r="D71" s="103">
        <f>'310-16 急流槽'!C21</f>
        <v>24.7</v>
      </c>
      <c r="E71" s="105"/>
      <c r="F71" s="105"/>
    </row>
    <row r="75" spans="5:5">
      <c r="E75" s="119"/>
    </row>
  </sheetData>
  <autoFilter ref="B1:B75">
    <extLst/>
  </autoFilter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E3" sqref="E3:E6"/>
    </sheetView>
  </sheetViews>
  <sheetFormatPr defaultColWidth="8.75" defaultRowHeight="11.25" outlineLevelCol="6"/>
  <cols>
    <col min="1" max="1" width="6.625" style="62" customWidth="1"/>
    <col min="2" max="2" width="24.875" style="62" customWidth="1"/>
    <col min="3" max="3" width="10" style="62" customWidth="1"/>
    <col min="4" max="4" width="10.5" style="62" customWidth="1"/>
    <col min="5" max="5" width="14.125" style="62" customWidth="1"/>
    <col min="6" max="6" width="12.5" style="62" customWidth="1"/>
    <col min="7" max="7" width="16.5" style="62" customWidth="1"/>
    <col min="8" max="10" width="8.75" style="62"/>
    <col min="11" max="11" width="9.5" style="62"/>
    <col min="12" max="16384" width="8.75" style="62"/>
  </cols>
  <sheetData>
    <row r="1" ht="60" customHeight="1" spans="1:7">
      <c r="A1" s="2" t="s">
        <v>146</v>
      </c>
      <c r="B1" s="2"/>
      <c r="C1" s="2"/>
      <c r="D1" s="2"/>
      <c r="E1" s="2"/>
      <c r="F1" s="2"/>
      <c r="G1" s="2"/>
    </row>
    <row r="2" ht="30" customHeight="1" spans="1:7">
      <c r="A2" s="88" t="s">
        <v>147</v>
      </c>
      <c r="B2" s="88" t="s">
        <v>148</v>
      </c>
      <c r="C2" s="88" t="s">
        <v>149</v>
      </c>
      <c r="D2" s="88" t="s">
        <v>150</v>
      </c>
      <c r="E2" s="89" t="s">
        <v>151</v>
      </c>
      <c r="F2" s="89" t="s">
        <v>152</v>
      </c>
      <c r="G2" s="90" t="s">
        <v>153</v>
      </c>
    </row>
    <row r="3" ht="36" customHeight="1" spans="1:7">
      <c r="A3" s="6">
        <v>1</v>
      </c>
      <c r="B3" s="93" t="s">
        <v>154</v>
      </c>
      <c r="C3" s="94">
        <v>170.6</v>
      </c>
      <c r="D3" s="94">
        <v>33</v>
      </c>
      <c r="E3" s="14">
        <v>5438</v>
      </c>
      <c r="F3" s="14">
        <v>5438</v>
      </c>
      <c r="G3" s="46" t="s">
        <v>155</v>
      </c>
    </row>
    <row r="4" ht="30" customHeight="1" spans="1:7">
      <c r="A4" s="6">
        <v>2</v>
      </c>
      <c r="B4" s="7" t="s">
        <v>156</v>
      </c>
      <c r="C4" s="6">
        <v>36.1</v>
      </c>
      <c r="D4" s="6" t="s">
        <v>157</v>
      </c>
      <c r="E4" s="14">
        <v>355</v>
      </c>
      <c r="F4" s="14">
        <v>355</v>
      </c>
      <c r="G4" s="46" t="s">
        <v>155</v>
      </c>
    </row>
    <row r="5" ht="30" customHeight="1" spans="1:7">
      <c r="A5" s="6">
        <v>3</v>
      </c>
      <c r="B5" s="6" t="s">
        <v>158</v>
      </c>
      <c r="C5" s="6">
        <v>125.9</v>
      </c>
      <c r="D5" s="6">
        <v>10.5</v>
      </c>
      <c r="E5" s="11">
        <v>1304</v>
      </c>
      <c r="F5" s="11">
        <v>1304</v>
      </c>
      <c r="G5" s="46" t="s">
        <v>155</v>
      </c>
    </row>
    <row r="6" ht="30" customHeight="1" spans="1:7">
      <c r="A6" s="6">
        <v>4</v>
      </c>
      <c r="B6" s="6" t="s">
        <v>159</v>
      </c>
      <c r="C6" s="6">
        <v>208.4</v>
      </c>
      <c r="D6" s="6">
        <v>10.5</v>
      </c>
      <c r="E6" s="11">
        <v>2157</v>
      </c>
      <c r="F6" s="11">
        <v>2157</v>
      </c>
      <c r="G6" s="46" t="s">
        <v>155</v>
      </c>
    </row>
    <row r="7" ht="30" customHeight="1" spans="1:7">
      <c r="A7" s="6"/>
      <c r="B7" s="6"/>
      <c r="C7" s="6"/>
      <c r="D7" s="6"/>
      <c r="E7" s="80"/>
      <c r="F7" s="11"/>
      <c r="G7" s="12"/>
    </row>
    <row r="8" ht="30" customHeight="1" spans="1:7">
      <c r="A8" s="6"/>
      <c r="B8" s="6"/>
      <c r="C8" s="6"/>
      <c r="D8" s="6"/>
      <c r="E8" s="80"/>
      <c r="F8" s="11"/>
      <c r="G8" s="12"/>
    </row>
    <row r="9" ht="30" customHeight="1" spans="1:7">
      <c r="A9" s="6"/>
      <c r="B9" s="10"/>
      <c r="C9" s="6"/>
      <c r="D9" s="6"/>
      <c r="E9" s="80"/>
      <c r="F9" s="11"/>
      <c r="G9" s="12"/>
    </row>
    <row r="10" ht="30" customHeight="1" spans="1:7">
      <c r="A10" s="6"/>
      <c r="B10" s="6"/>
      <c r="C10" s="6"/>
      <c r="D10" s="6"/>
      <c r="E10" s="80"/>
      <c r="F10" s="11"/>
      <c r="G10" s="12"/>
    </row>
    <row r="11" ht="30" customHeight="1" spans="1:7">
      <c r="A11" s="6"/>
      <c r="B11" s="10"/>
      <c r="C11" s="6"/>
      <c r="D11" s="6"/>
      <c r="E11" s="80"/>
      <c r="F11" s="11"/>
      <c r="G11" s="12"/>
    </row>
    <row r="12" ht="30" customHeight="1" spans="1:7">
      <c r="A12" s="6"/>
      <c r="B12" s="6"/>
      <c r="C12" s="6"/>
      <c r="D12" s="6"/>
      <c r="E12" s="80"/>
      <c r="F12" s="53"/>
      <c r="G12" s="12"/>
    </row>
    <row r="13" ht="30" customHeight="1" spans="1:7">
      <c r="A13" s="6"/>
      <c r="B13" s="10"/>
      <c r="C13" s="6"/>
      <c r="D13" s="6"/>
      <c r="E13" s="80"/>
      <c r="F13" s="11"/>
      <c r="G13" s="12"/>
    </row>
    <row r="14" ht="30" customHeight="1" spans="1:7">
      <c r="A14" s="6"/>
      <c r="B14" s="42"/>
      <c r="C14" s="6"/>
      <c r="D14" s="6"/>
      <c r="E14" s="80"/>
      <c r="F14" s="6"/>
      <c r="G14" s="12"/>
    </row>
    <row r="15" ht="30" customHeight="1" spans="1:7">
      <c r="A15" s="6"/>
      <c r="B15" s="42"/>
      <c r="C15" s="6"/>
      <c r="D15" s="6"/>
      <c r="E15" s="80"/>
      <c r="F15" s="6"/>
      <c r="G15" s="12"/>
    </row>
    <row r="16" ht="30" customHeight="1" spans="1:7">
      <c r="A16" s="6"/>
      <c r="B16" s="42"/>
      <c r="C16" s="6"/>
      <c r="D16" s="6"/>
      <c r="E16" s="80"/>
      <c r="F16" s="6"/>
      <c r="G16" s="12"/>
    </row>
    <row r="17" ht="30" customHeight="1" spans="1:7">
      <c r="A17" s="6"/>
      <c r="B17" s="42"/>
      <c r="C17" s="6"/>
      <c r="D17" s="6"/>
      <c r="E17" s="80"/>
      <c r="F17" s="6"/>
      <c r="G17" s="12"/>
    </row>
    <row r="18" ht="30" customHeight="1" spans="1:7">
      <c r="A18" s="6"/>
      <c r="B18" s="42"/>
      <c r="C18" s="6"/>
      <c r="D18" s="6"/>
      <c r="E18" s="80"/>
      <c r="F18" s="6"/>
      <c r="G18" s="12"/>
    </row>
    <row r="19" ht="30" customHeight="1" spans="1:7">
      <c r="A19" s="6"/>
      <c r="B19" s="42"/>
      <c r="C19" s="6"/>
      <c r="D19" s="6"/>
      <c r="E19" s="80"/>
      <c r="F19" s="6"/>
      <c r="G19" s="12"/>
    </row>
    <row r="20" ht="30" customHeight="1" spans="1:7">
      <c r="A20" s="6"/>
      <c r="B20" s="42"/>
      <c r="C20" s="6"/>
      <c r="D20" s="6"/>
      <c r="E20" s="80"/>
      <c r="F20" s="6"/>
      <c r="G20" s="12"/>
    </row>
    <row r="21" ht="30" customHeight="1" spans="1:7">
      <c r="A21" s="6" t="s">
        <v>160</v>
      </c>
      <c r="B21" s="42"/>
      <c r="C21" s="6"/>
      <c r="D21" s="6"/>
      <c r="E21" s="92">
        <f>SUM(E3:E6)</f>
        <v>9254</v>
      </c>
      <c r="F21" s="6">
        <f>SUM(F3:F6)</f>
        <v>9254</v>
      </c>
      <c r="G21" s="12"/>
    </row>
    <row r="22" s="1" customFormat="1" ht="30" customHeight="1" spans="1:4">
      <c r="A22" s="13" t="s">
        <v>161</v>
      </c>
      <c r="B22" s="13"/>
      <c r="C22" s="13"/>
      <c r="D22" s="13"/>
    </row>
  </sheetData>
  <mergeCells count="1">
    <mergeCell ref="A1:G1"/>
  </mergeCells>
  <pageMargins left="0.751388888888889" right="0.751388888888889" top="1" bottom="0.668055555555556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F14" sqref="F14:F15"/>
    </sheetView>
  </sheetViews>
  <sheetFormatPr defaultColWidth="8.75" defaultRowHeight="11.25" outlineLevelCol="5"/>
  <cols>
    <col min="1" max="1" width="6.625" style="62" customWidth="1"/>
    <col min="2" max="2" width="24.875" style="62" customWidth="1"/>
    <col min="3" max="3" width="24.625" style="62" customWidth="1"/>
    <col min="4" max="4" width="14.125" style="62" customWidth="1"/>
    <col min="5" max="5" width="12.5" style="62" customWidth="1"/>
    <col min="6" max="6" width="20.75" style="62" customWidth="1"/>
    <col min="7" max="9" width="8.75" style="62"/>
    <col min="10" max="10" width="9.5" style="62"/>
    <col min="11" max="16384" width="8.75" style="62"/>
  </cols>
  <sheetData>
    <row r="1" ht="60" customHeight="1" spans="1:6">
      <c r="A1" s="2" t="s">
        <v>162</v>
      </c>
      <c r="B1" s="2"/>
      <c r="C1" s="2"/>
      <c r="D1" s="2"/>
      <c r="E1" s="2"/>
      <c r="F1" s="2"/>
    </row>
    <row r="2" ht="30" customHeight="1" spans="1:6">
      <c r="A2" s="88" t="s">
        <v>147</v>
      </c>
      <c r="B2" s="88" t="s">
        <v>148</v>
      </c>
      <c r="C2" s="88" t="s">
        <v>163</v>
      </c>
      <c r="D2" s="89" t="s">
        <v>151</v>
      </c>
      <c r="E2" s="89" t="s">
        <v>152</v>
      </c>
      <c r="F2" s="90" t="s">
        <v>153</v>
      </c>
    </row>
    <row r="3" ht="36" customHeight="1" spans="1:6">
      <c r="A3" s="37">
        <v>1</v>
      </c>
      <c r="B3" s="38" t="s">
        <v>164</v>
      </c>
      <c r="C3" s="38" t="s">
        <v>165</v>
      </c>
      <c r="D3" s="80">
        <f>39.6/0.4</f>
        <v>99</v>
      </c>
      <c r="E3" s="80">
        <f>39.6/0.4</f>
        <v>99</v>
      </c>
      <c r="F3" s="39" t="s">
        <v>166</v>
      </c>
    </row>
    <row r="4" ht="30" customHeight="1" spans="1:6">
      <c r="A4" s="37">
        <v>2</v>
      </c>
      <c r="B4" s="38" t="s">
        <v>164</v>
      </c>
      <c r="C4" s="38" t="s">
        <v>167</v>
      </c>
      <c r="D4" s="80">
        <f>52.8/0.4</f>
        <v>132</v>
      </c>
      <c r="E4" s="80">
        <f>52.8/0.4</f>
        <v>132</v>
      </c>
      <c r="F4" s="39" t="s">
        <v>166</v>
      </c>
    </row>
    <row r="5" ht="30" customHeight="1" spans="1:6">
      <c r="A5" s="37">
        <v>3</v>
      </c>
      <c r="B5" s="38" t="s">
        <v>168</v>
      </c>
      <c r="C5" s="38" t="s">
        <v>169</v>
      </c>
      <c r="D5" s="80">
        <f>52.8/0.4</f>
        <v>132</v>
      </c>
      <c r="E5" s="80">
        <f>52.8/0.4</f>
        <v>132</v>
      </c>
      <c r="F5" s="39" t="s">
        <v>166</v>
      </c>
    </row>
    <row r="6" ht="30" customHeight="1" spans="1:6">
      <c r="A6" s="37">
        <v>4</v>
      </c>
      <c r="B6" s="38" t="s">
        <v>168</v>
      </c>
      <c r="C6" s="38" t="s">
        <v>170</v>
      </c>
      <c r="D6" s="80">
        <f>39.6/0.4</f>
        <v>99</v>
      </c>
      <c r="E6" s="80">
        <f>39.6/0.4</f>
        <v>99</v>
      </c>
      <c r="F6" s="39" t="s">
        <v>166</v>
      </c>
    </row>
    <row r="7" ht="30" customHeight="1" spans="1:6">
      <c r="A7" s="37">
        <v>5</v>
      </c>
      <c r="B7" s="38" t="s">
        <v>171</v>
      </c>
      <c r="C7" s="41" t="s">
        <v>172</v>
      </c>
      <c r="D7" s="80">
        <f>105.6/0.4</f>
        <v>264</v>
      </c>
      <c r="E7" s="80">
        <f>105.6/0.4</f>
        <v>264</v>
      </c>
      <c r="F7" s="39" t="s">
        <v>173</v>
      </c>
    </row>
    <row r="8" ht="30" customHeight="1" spans="1:6">
      <c r="A8" s="37">
        <v>6</v>
      </c>
      <c r="B8" s="38" t="s">
        <v>171</v>
      </c>
      <c r="C8" s="41" t="s">
        <v>174</v>
      </c>
      <c r="D8" s="80">
        <f>136.6/0.4</f>
        <v>341.5</v>
      </c>
      <c r="E8" s="80">
        <f>136.6/0.4</f>
        <v>341.5</v>
      </c>
      <c r="F8" s="39" t="s">
        <v>173</v>
      </c>
    </row>
    <row r="9" ht="30" customHeight="1" spans="1:6">
      <c r="A9" s="37">
        <v>7</v>
      </c>
      <c r="B9" s="38" t="s">
        <v>175</v>
      </c>
      <c r="C9" s="41" t="s">
        <v>176</v>
      </c>
      <c r="D9" s="80">
        <f>105.6/0.4</f>
        <v>264</v>
      </c>
      <c r="E9" s="80">
        <f>105.6/0.4</f>
        <v>264</v>
      </c>
      <c r="F9" s="39" t="s">
        <v>173</v>
      </c>
    </row>
    <row r="10" ht="30" customHeight="1" spans="1:6">
      <c r="A10" s="37">
        <v>8</v>
      </c>
      <c r="B10" s="38" t="s">
        <v>177</v>
      </c>
      <c r="C10" s="38" t="s">
        <v>178</v>
      </c>
      <c r="D10" s="80">
        <f>25.2/0.4</f>
        <v>63</v>
      </c>
      <c r="E10" s="80">
        <f t="shared" ref="E10:E13" si="0">25.2/0.4</f>
        <v>63</v>
      </c>
      <c r="F10" s="39" t="s">
        <v>173</v>
      </c>
    </row>
    <row r="11" ht="30" customHeight="1" spans="1:6">
      <c r="A11" s="37">
        <v>9</v>
      </c>
      <c r="B11" s="38" t="s">
        <v>177</v>
      </c>
      <c r="C11" s="38" t="s">
        <v>179</v>
      </c>
      <c r="D11" s="80">
        <f>25.2/0.4</f>
        <v>63</v>
      </c>
      <c r="E11" s="80">
        <f t="shared" si="0"/>
        <v>63</v>
      </c>
      <c r="F11" s="39" t="s">
        <v>173</v>
      </c>
    </row>
    <row r="12" ht="30" customHeight="1" spans="1:6">
      <c r="A12" s="37">
        <v>10</v>
      </c>
      <c r="B12" s="38" t="s">
        <v>180</v>
      </c>
      <c r="C12" s="38" t="s">
        <v>181</v>
      </c>
      <c r="D12" s="80">
        <f>25.2/0.4</f>
        <v>63</v>
      </c>
      <c r="E12" s="80">
        <f t="shared" si="0"/>
        <v>63</v>
      </c>
      <c r="F12" s="39" t="s">
        <v>173</v>
      </c>
    </row>
    <row r="13" ht="30" customHeight="1" spans="1:6">
      <c r="A13" s="37">
        <v>11</v>
      </c>
      <c r="B13" s="38" t="s">
        <v>180</v>
      </c>
      <c r="C13" s="38" t="s">
        <v>182</v>
      </c>
      <c r="D13" s="80">
        <f>25.2/0.4</f>
        <v>63</v>
      </c>
      <c r="E13" s="80">
        <f t="shared" si="0"/>
        <v>63</v>
      </c>
      <c r="F13" s="39" t="s">
        <v>173</v>
      </c>
    </row>
    <row r="14" ht="30" customHeight="1" spans="1:6">
      <c r="A14" s="6"/>
      <c r="B14" s="42"/>
      <c r="C14" s="6"/>
      <c r="D14" s="80"/>
      <c r="E14" s="6"/>
      <c r="F14" s="91"/>
    </row>
    <row r="15" ht="30" customHeight="1" spans="1:6">
      <c r="A15" s="6"/>
      <c r="B15" s="42"/>
      <c r="C15" s="6"/>
      <c r="D15" s="80"/>
      <c r="E15" s="6"/>
      <c r="F15" s="91"/>
    </row>
    <row r="16" ht="30" customHeight="1" spans="1:6">
      <c r="A16" s="6"/>
      <c r="B16" s="42"/>
      <c r="C16" s="6"/>
      <c r="D16" s="80"/>
      <c r="E16" s="6"/>
      <c r="F16" s="12"/>
    </row>
    <row r="17" ht="30" customHeight="1" spans="1:6">
      <c r="A17" s="6"/>
      <c r="B17" s="42"/>
      <c r="C17" s="6"/>
      <c r="D17" s="80"/>
      <c r="E17" s="6"/>
      <c r="F17" s="12"/>
    </row>
    <row r="18" ht="30" customHeight="1" spans="1:6">
      <c r="A18" s="6"/>
      <c r="B18" s="42"/>
      <c r="C18" s="6"/>
      <c r="D18" s="80"/>
      <c r="E18" s="6"/>
      <c r="F18" s="12"/>
    </row>
    <row r="19" ht="30" customHeight="1" spans="1:6">
      <c r="A19" s="6"/>
      <c r="B19" s="42"/>
      <c r="C19" s="6"/>
      <c r="D19" s="80"/>
      <c r="E19" s="6"/>
      <c r="F19" s="12"/>
    </row>
    <row r="20" ht="30" customHeight="1" spans="1:6">
      <c r="A20" s="6"/>
      <c r="B20" s="42"/>
      <c r="C20" s="6"/>
      <c r="D20" s="80"/>
      <c r="E20" s="6"/>
      <c r="F20" s="12"/>
    </row>
    <row r="21" ht="30" customHeight="1" spans="1:6">
      <c r="A21" s="6" t="s">
        <v>160</v>
      </c>
      <c r="B21" s="42"/>
      <c r="C21" s="6"/>
      <c r="D21" s="92">
        <f>SUM(D3:D13)</f>
        <v>1583.5</v>
      </c>
      <c r="E21" s="6">
        <f>SUM(E3:E13)</f>
        <v>1583.5</v>
      </c>
      <c r="F21" s="12"/>
    </row>
    <row r="22" s="1" customFormat="1" ht="30" customHeight="1" spans="1:3">
      <c r="A22" s="13" t="s">
        <v>161</v>
      </c>
      <c r="B22" s="13"/>
      <c r="C22" s="13"/>
    </row>
  </sheetData>
  <mergeCells count="1">
    <mergeCell ref="A1:F1"/>
  </mergeCells>
  <pageMargins left="0.751388888888889" right="0.751388888888889" top="1" bottom="0.668055555555556" header="0.511805555555556" footer="0.51180555555555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"/>
  <sheetViews>
    <sheetView workbookViewId="0">
      <selection activeCell="F3" sqref="F3:F4"/>
    </sheetView>
  </sheetViews>
  <sheetFormatPr defaultColWidth="8.75" defaultRowHeight="11.25"/>
  <cols>
    <col min="1" max="1" width="7.5" style="32" customWidth="1"/>
    <col min="2" max="2" width="24.375" style="32" customWidth="1"/>
    <col min="3" max="3" width="9" style="32" customWidth="1"/>
    <col min="4" max="5" width="9.5" style="32" customWidth="1"/>
    <col min="6" max="6" width="14.25" style="74" customWidth="1"/>
    <col min="7" max="7" width="12.5" style="32" customWidth="1"/>
    <col min="8" max="8" width="8.5" style="32" customWidth="1"/>
    <col min="9" max="11" width="8.75" style="32"/>
    <col min="12" max="12" width="9.5" style="32"/>
    <col min="13" max="16384" width="8.75" style="32"/>
  </cols>
  <sheetData>
    <row r="1" ht="60" customHeight="1" spans="1:8">
      <c r="A1" s="2" t="s">
        <v>183</v>
      </c>
      <c r="B1" s="2"/>
      <c r="C1" s="2"/>
      <c r="D1" s="2"/>
      <c r="E1" s="2"/>
      <c r="F1" s="2"/>
      <c r="G1" s="2"/>
      <c r="H1" s="2"/>
    </row>
    <row r="2" ht="39" customHeight="1" spans="1:8">
      <c r="A2" s="3" t="s">
        <v>147</v>
      </c>
      <c r="B2" s="3" t="s">
        <v>148</v>
      </c>
      <c r="C2" s="3" t="s">
        <v>149</v>
      </c>
      <c r="D2" s="3" t="s">
        <v>184</v>
      </c>
      <c r="E2" s="3" t="s">
        <v>184</v>
      </c>
      <c r="F2" s="75" t="s">
        <v>185</v>
      </c>
      <c r="G2" s="4" t="s">
        <v>186</v>
      </c>
      <c r="H2" s="5" t="s">
        <v>153</v>
      </c>
    </row>
    <row r="3" ht="36.75" customHeight="1" spans="1:10">
      <c r="A3" s="6">
        <v>1</v>
      </c>
      <c r="B3" s="8" t="s">
        <v>187</v>
      </c>
      <c r="C3" s="6"/>
      <c r="D3" s="6">
        <v>6</v>
      </c>
      <c r="E3" s="6">
        <v>6.5</v>
      </c>
      <c r="F3" s="7">
        <v>155.5</v>
      </c>
      <c r="G3" s="7">
        <v>155.5</v>
      </c>
      <c r="H3" s="47" t="s">
        <v>188</v>
      </c>
      <c r="J3" s="85"/>
    </row>
    <row r="4" ht="30" customHeight="1" spans="1:10">
      <c r="A4" s="6">
        <v>2</v>
      </c>
      <c r="B4" s="8" t="s">
        <v>189</v>
      </c>
      <c r="C4" s="6"/>
      <c r="D4" s="6">
        <v>6</v>
      </c>
      <c r="E4" s="6">
        <v>6.5</v>
      </c>
      <c r="F4" s="7">
        <v>225.9</v>
      </c>
      <c r="G4" s="7">
        <v>225.9</v>
      </c>
      <c r="H4" s="49"/>
      <c r="J4" s="85"/>
    </row>
    <row r="5" ht="30" customHeight="1" spans="1:10">
      <c r="A5" s="76"/>
      <c r="B5" s="77"/>
      <c r="C5" s="76"/>
      <c r="D5" s="76"/>
      <c r="E5" s="76"/>
      <c r="F5" s="78"/>
      <c r="G5" s="79"/>
      <c r="H5" s="48"/>
      <c r="I5" s="85"/>
      <c r="J5" s="85"/>
    </row>
    <row r="6" ht="30" customHeight="1" spans="1:10">
      <c r="A6" s="6"/>
      <c r="B6" s="8"/>
      <c r="C6" s="6"/>
      <c r="D6" s="6"/>
      <c r="E6" s="6"/>
      <c r="F6" s="80"/>
      <c r="G6" s="79"/>
      <c r="H6" s="48"/>
      <c r="I6" s="85"/>
      <c r="J6" s="85"/>
    </row>
    <row r="7" ht="30" customHeight="1" spans="1:10">
      <c r="A7" s="6"/>
      <c r="B7" s="8"/>
      <c r="C7" s="6"/>
      <c r="D7" s="6"/>
      <c r="E7" s="6"/>
      <c r="F7" s="80"/>
      <c r="G7" s="81"/>
      <c r="H7" s="49"/>
      <c r="I7" s="85"/>
      <c r="J7" s="85"/>
    </row>
    <row r="8" ht="30" customHeight="1" spans="1:9">
      <c r="A8" s="6"/>
      <c r="B8" s="8"/>
      <c r="C8" s="6"/>
      <c r="D8" s="6"/>
      <c r="E8" s="6"/>
      <c r="F8" s="80"/>
      <c r="G8" s="11"/>
      <c r="H8" s="12"/>
      <c r="I8" s="85"/>
    </row>
    <row r="9" ht="30" customHeight="1" spans="1:9">
      <c r="A9" s="6"/>
      <c r="B9" s="8"/>
      <c r="C9" s="6"/>
      <c r="D9" s="6"/>
      <c r="E9" s="6"/>
      <c r="F9" s="80"/>
      <c r="G9" s="11"/>
      <c r="H9" s="12"/>
      <c r="I9" s="85"/>
    </row>
    <row r="10" ht="30" customHeight="1" spans="1:8">
      <c r="A10" s="6"/>
      <c r="B10" s="6"/>
      <c r="C10" s="6"/>
      <c r="D10" s="6"/>
      <c r="E10" s="6"/>
      <c r="F10" s="80"/>
      <c r="G10" s="11"/>
      <c r="H10" s="12"/>
    </row>
    <row r="11" ht="30" customHeight="1" spans="1:8">
      <c r="A11" s="6"/>
      <c r="B11" s="10"/>
      <c r="C11" s="6"/>
      <c r="D11" s="6"/>
      <c r="E11" s="6"/>
      <c r="F11" s="80"/>
      <c r="G11" s="11"/>
      <c r="H11" s="12"/>
    </row>
    <row r="12" ht="30" customHeight="1" spans="1:8">
      <c r="A12" s="6"/>
      <c r="B12" s="6"/>
      <c r="C12" s="6"/>
      <c r="D12" s="6"/>
      <c r="E12" s="6"/>
      <c r="F12" s="80"/>
      <c r="G12" s="53"/>
      <c r="H12" s="12"/>
    </row>
    <row r="13" ht="30" customHeight="1" spans="1:8">
      <c r="A13" s="6"/>
      <c r="B13" s="10"/>
      <c r="C13" s="6"/>
      <c r="D13" s="6"/>
      <c r="E13" s="6"/>
      <c r="F13" s="80"/>
      <c r="G13" s="11"/>
      <c r="H13" s="12"/>
    </row>
    <row r="14" ht="30" customHeight="1" spans="1:8">
      <c r="A14" s="6"/>
      <c r="B14" s="42"/>
      <c r="C14" s="6"/>
      <c r="D14" s="6"/>
      <c r="E14" s="6"/>
      <c r="F14" s="80"/>
      <c r="G14" s="6"/>
      <c r="H14" s="12"/>
    </row>
    <row r="15" ht="30" customHeight="1" spans="1:8">
      <c r="A15" s="6"/>
      <c r="B15" s="42"/>
      <c r="C15" s="6"/>
      <c r="D15" s="6"/>
      <c r="E15" s="6"/>
      <c r="F15" s="80"/>
      <c r="G15" s="6"/>
      <c r="H15" s="12"/>
    </row>
    <row r="16" ht="30" customHeight="1" spans="1:8">
      <c r="A16" s="6"/>
      <c r="B16" s="42"/>
      <c r="C16" s="6"/>
      <c r="D16" s="6"/>
      <c r="E16" s="6"/>
      <c r="F16" s="80"/>
      <c r="G16" s="6"/>
      <c r="H16" s="12"/>
    </row>
    <row r="17" ht="30" customHeight="1" spans="1:8">
      <c r="A17" s="6"/>
      <c r="B17" s="42"/>
      <c r="C17" s="6"/>
      <c r="D17" s="6"/>
      <c r="E17" s="6"/>
      <c r="F17" s="80"/>
      <c r="G17" s="6"/>
      <c r="H17" s="12"/>
    </row>
    <row r="18" ht="30" customHeight="1" spans="1:8">
      <c r="A18" s="6"/>
      <c r="B18" s="42"/>
      <c r="C18" s="6"/>
      <c r="D18" s="6"/>
      <c r="E18" s="6"/>
      <c r="F18" s="80"/>
      <c r="G18" s="6"/>
      <c r="H18" s="12"/>
    </row>
    <row r="19" ht="26.1" customHeight="1" spans="1:8">
      <c r="A19" s="6"/>
      <c r="B19" s="42"/>
      <c r="C19" s="6"/>
      <c r="D19" s="6"/>
      <c r="E19" s="6"/>
      <c r="F19" s="80"/>
      <c r="G19" s="6"/>
      <c r="H19" s="12"/>
    </row>
    <row r="20" ht="30" customHeight="1" spans="1:8">
      <c r="A20" s="6"/>
      <c r="B20" s="42"/>
      <c r="C20" s="6"/>
      <c r="D20" s="6"/>
      <c r="E20" s="6"/>
      <c r="F20" s="80"/>
      <c r="G20" s="6"/>
      <c r="H20" s="12"/>
    </row>
    <row r="21" ht="30" customHeight="1" spans="1:8">
      <c r="A21" s="6" t="s">
        <v>160</v>
      </c>
      <c r="B21" s="42"/>
      <c r="C21" s="6"/>
      <c r="D21" s="6"/>
      <c r="E21" s="6"/>
      <c r="F21" s="80">
        <f>SUM(F3:F20)</f>
        <v>381.4</v>
      </c>
      <c r="G21" s="80">
        <f>SUM(G3:G4)</f>
        <v>381.4</v>
      </c>
      <c r="H21" s="80"/>
    </row>
    <row r="22" s="1" customFormat="1" ht="30" customHeight="1" spans="1:6">
      <c r="A22" s="13" t="s">
        <v>161</v>
      </c>
      <c r="B22" s="13"/>
      <c r="C22" s="13"/>
      <c r="D22" s="13"/>
      <c r="E22" s="23"/>
      <c r="F22" s="82"/>
    </row>
    <row r="23" ht="24.95" customHeight="1" spans="1:8">
      <c r="A23" s="66"/>
      <c r="B23" s="67"/>
      <c r="C23" s="66"/>
      <c r="D23" s="66"/>
      <c r="E23" s="66"/>
      <c r="F23" s="83"/>
      <c r="G23" s="66"/>
      <c r="H23" s="84"/>
    </row>
    <row r="24" ht="24.95" customHeight="1" spans="1:8">
      <c r="A24" s="66"/>
      <c r="B24" s="67"/>
      <c r="C24" s="66"/>
      <c r="D24" s="66"/>
      <c r="E24" s="66"/>
      <c r="F24" s="83"/>
      <c r="G24" s="66"/>
      <c r="H24" s="84"/>
    </row>
    <row r="25" ht="24.95" customHeight="1" spans="1:8">
      <c r="A25" s="66"/>
      <c r="B25" s="67"/>
      <c r="C25" s="66"/>
      <c r="D25" s="66"/>
      <c r="E25" s="66"/>
      <c r="F25" s="83"/>
      <c r="G25" s="66"/>
      <c r="H25" s="84"/>
    </row>
    <row r="26" ht="24.95" customHeight="1" spans="1:8">
      <c r="A26" s="66"/>
      <c r="B26" s="67"/>
      <c r="C26" s="66"/>
      <c r="D26" s="66"/>
      <c r="E26" s="66"/>
      <c r="F26" s="83"/>
      <c r="G26" s="66"/>
      <c r="H26" s="84"/>
    </row>
    <row r="27" ht="24.95" customHeight="1" spans="1:8">
      <c r="A27" s="66"/>
      <c r="B27" s="67"/>
      <c r="C27" s="66"/>
      <c r="D27" s="66"/>
      <c r="E27" s="66"/>
      <c r="F27" s="83"/>
      <c r="G27" s="66"/>
      <c r="H27" s="84"/>
    </row>
    <row r="28" ht="24.95" customHeight="1" spans="1:8">
      <c r="A28" s="66"/>
      <c r="B28" s="67"/>
      <c r="C28" s="66"/>
      <c r="D28" s="66"/>
      <c r="E28" s="66"/>
      <c r="F28" s="83"/>
      <c r="G28" s="66"/>
      <c r="H28" s="84"/>
    </row>
    <row r="29" ht="24.95" customHeight="1" spans="1:8">
      <c r="A29" s="66"/>
      <c r="B29" s="67"/>
      <c r="C29" s="66"/>
      <c r="D29" s="66"/>
      <c r="E29" s="66"/>
      <c r="F29" s="83"/>
      <c r="G29" s="66"/>
      <c r="H29" s="84"/>
    </row>
    <row r="30" ht="24.95" customHeight="1" spans="1:8">
      <c r="A30" s="66"/>
      <c r="B30" s="67"/>
      <c r="C30" s="66"/>
      <c r="D30" s="66"/>
      <c r="E30" s="66"/>
      <c r="F30" s="83"/>
      <c r="G30" s="66"/>
      <c r="H30" s="84"/>
    </row>
    <row r="31" ht="24.95" customHeight="1" spans="1:8">
      <c r="A31" s="66"/>
      <c r="B31" s="67"/>
      <c r="C31" s="66"/>
      <c r="D31" s="66"/>
      <c r="E31" s="66"/>
      <c r="F31" s="83"/>
      <c r="G31" s="66"/>
      <c r="H31" s="84"/>
    </row>
    <row r="32" ht="24.95" customHeight="1" spans="1:8">
      <c r="A32" s="66"/>
      <c r="B32" s="67"/>
      <c r="C32" s="66"/>
      <c r="D32" s="66"/>
      <c r="E32" s="66"/>
      <c r="F32" s="83"/>
      <c r="G32" s="66"/>
      <c r="H32" s="84"/>
    </row>
    <row r="33" ht="24.95" customHeight="1" spans="1:8">
      <c r="A33" s="66"/>
      <c r="B33" s="67"/>
      <c r="C33" s="66"/>
      <c r="D33" s="66"/>
      <c r="E33" s="66"/>
      <c r="F33" s="83"/>
      <c r="G33" s="66"/>
      <c r="H33" s="84"/>
    </row>
    <row r="34" ht="24.95" customHeight="1" spans="1:8">
      <c r="A34" s="66"/>
      <c r="B34" s="67"/>
      <c r="C34" s="66"/>
      <c r="D34" s="66"/>
      <c r="E34" s="66"/>
      <c r="F34" s="83"/>
      <c r="G34" s="66"/>
      <c r="H34" s="84"/>
    </row>
    <row r="35" ht="24.95" customHeight="1" spans="1:8">
      <c r="A35" s="66"/>
      <c r="B35" s="67"/>
      <c r="C35" s="66"/>
      <c r="D35" s="66"/>
      <c r="E35" s="66"/>
      <c r="F35" s="83"/>
      <c r="G35" s="66"/>
      <c r="H35" s="84"/>
    </row>
    <row r="36" ht="24.95" customHeight="1" spans="1:8">
      <c r="A36" s="66"/>
      <c r="B36" s="67"/>
      <c r="C36" s="66"/>
      <c r="D36" s="66"/>
      <c r="E36" s="66"/>
      <c r="F36" s="83"/>
      <c r="G36" s="66"/>
      <c r="H36" s="84"/>
    </row>
    <row r="37" ht="24.95" customHeight="1" spans="1:8">
      <c r="A37" s="66"/>
      <c r="B37" s="67"/>
      <c r="C37" s="66"/>
      <c r="D37" s="66"/>
      <c r="E37" s="66"/>
      <c r="F37" s="83"/>
      <c r="G37" s="66"/>
      <c r="H37" s="84"/>
    </row>
    <row r="38" ht="24.95" customHeight="1" spans="1:8">
      <c r="A38" s="66"/>
      <c r="B38" s="67"/>
      <c r="C38" s="66"/>
      <c r="D38" s="66"/>
      <c r="E38" s="66"/>
      <c r="F38" s="83"/>
      <c r="G38" s="66"/>
      <c r="H38" s="84"/>
    </row>
    <row r="39" ht="24.95" customHeight="1" spans="1:8">
      <c r="A39" s="66"/>
      <c r="B39" s="67"/>
      <c r="C39" s="66"/>
      <c r="D39" s="66"/>
      <c r="E39" s="66"/>
      <c r="F39" s="83"/>
      <c r="G39" s="66"/>
      <c r="H39" s="84"/>
    </row>
    <row r="40" ht="24.95" customHeight="1" spans="1:8">
      <c r="A40" s="66"/>
      <c r="B40" s="67"/>
      <c r="C40" s="66"/>
      <c r="D40" s="66"/>
      <c r="E40" s="66"/>
      <c r="F40" s="83"/>
      <c r="G40" s="66"/>
      <c r="H40" s="84"/>
    </row>
    <row r="41" ht="24.95" customHeight="1" spans="1:8">
      <c r="A41" s="66"/>
      <c r="B41" s="67"/>
      <c r="C41" s="66"/>
      <c r="D41" s="66"/>
      <c r="E41" s="66"/>
      <c r="F41" s="83"/>
      <c r="G41" s="66"/>
      <c r="H41" s="84"/>
    </row>
    <row r="42" ht="24.95" customHeight="1" spans="1:8">
      <c r="A42" s="66"/>
      <c r="B42" s="67"/>
      <c r="C42" s="66"/>
      <c r="D42" s="66"/>
      <c r="E42" s="66"/>
      <c r="F42" s="83"/>
      <c r="G42" s="66"/>
      <c r="H42" s="84"/>
    </row>
    <row r="43" ht="24.95" customHeight="1" spans="1:8">
      <c r="A43" s="66"/>
      <c r="B43" s="67"/>
      <c r="C43" s="66"/>
      <c r="D43" s="66"/>
      <c r="E43" s="66"/>
      <c r="F43" s="83"/>
      <c r="G43" s="66"/>
      <c r="H43" s="84"/>
    </row>
    <row r="44" ht="24.95" customHeight="1" spans="1:8">
      <c r="A44" s="66"/>
      <c r="B44" s="67"/>
      <c r="C44" s="66"/>
      <c r="D44" s="66"/>
      <c r="E44" s="66"/>
      <c r="F44" s="83"/>
      <c r="G44" s="66"/>
      <c r="H44" s="84"/>
    </row>
    <row r="45" ht="24.95" customHeight="1" spans="1:8">
      <c r="A45" s="66"/>
      <c r="B45" s="67"/>
      <c r="C45" s="66"/>
      <c r="D45" s="66"/>
      <c r="E45" s="66"/>
      <c r="F45" s="83"/>
      <c r="G45" s="66"/>
      <c r="H45" s="84"/>
    </row>
    <row r="46" ht="24.95" customHeight="1" spans="1:8">
      <c r="A46" s="66"/>
      <c r="B46" s="67"/>
      <c r="C46" s="66"/>
      <c r="D46" s="66"/>
      <c r="E46" s="66"/>
      <c r="F46" s="83"/>
      <c r="G46" s="66"/>
      <c r="H46" s="84"/>
    </row>
    <row r="47" ht="24.95" customHeight="1" spans="1:8">
      <c r="A47" s="66"/>
      <c r="B47" s="67"/>
      <c r="C47" s="66"/>
      <c r="D47" s="66"/>
      <c r="E47" s="66"/>
      <c r="F47" s="83"/>
      <c r="G47" s="66"/>
      <c r="H47" s="84"/>
    </row>
    <row r="48" ht="24.95" customHeight="1" spans="1:8">
      <c r="A48" s="66"/>
      <c r="B48" s="67"/>
      <c r="C48" s="66"/>
      <c r="D48" s="66"/>
      <c r="E48" s="66"/>
      <c r="F48" s="83"/>
      <c r="G48" s="66"/>
      <c r="H48" s="84"/>
    </row>
    <row r="49" ht="24.95" customHeight="1" spans="1:8">
      <c r="A49" s="66"/>
      <c r="B49" s="67"/>
      <c r="C49" s="66"/>
      <c r="D49" s="66"/>
      <c r="E49" s="66"/>
      <c r="F49" s="83"/>
      <c r="G49" s="66"/>
      <c r="H49" s="84"/>
    </row>
    <row r="50" ht="24.95" customHeight="1" spans="1:8">
      <c r="A50" s="66"/>
      <c r="B50" s="67"/>
      <c r="C50" s="66"/>
      <c r="D50" s="66"/>
      <c r="E50" s="66"/>
      <c r="F50" s="83"/>
      <c r="G50" s="66"/>
      <c r="H50" s="84"/>
    </row>
    <row r="51" ht="24.95" customHeight="1" spans="1:8">
      <c r="A51" s="66"/>
      <c r="B51" s="67"/>
      <c r="C51" s="66"/>
      <c r="D51" s="66"/>
      <c r="E51" s="66"/>
      <c r="F51" s="83"/>
      <c r="G51" s="66"/>
      <c r="H51" s="84"/>
    </row>
    <row r="52" ht="24.95" customHeight="1" spans="1:8">
      <c r="A52" s="66"/>
      <c r="B52" s="67"/>
      <c r="C52" s="66"/>
      <c r="D52" s="66"/>
      <c r="E52" s="66"/>
      <c r="F52" s="83"/>
      <c r="G52" s="66"/>
      <c r="H52" s="84"/>
    </row>
    <row r="53" ht="24.95" customHeight="1" spans="1:8">
      <c r="A53" s="66"/>
      <c r="B53" s="67"/>
      <c r="C53" s="66"/>
      <c r="D53" s="66"/>
      <c r="E53" s="66"/>
      <c r="F53" s="83"/>
      <c r="G53" s="66"/>
      <c r="H53" s="84"/>
    </row>
    <row r="54" ht="24.95" customHeight="1" spans="1:8">
      <c r="A54" s="66"/>
      <c r="B54" s="67"/>
      <c r="C54" s="66"/>
      <c r="D54" s="66"/>
      <c r="E54" s="66"/>
      <c r="F54" s="83"/>
      <c r="G54" s="66"/>
      <c r="H54" s="84"/>
    </row>
    <row r="55" ht="24.95" customHeight="1" spans="1:8">
      <c r="A55" s="66"/>
      <c r="B55" s="67"/>
      <c r="C55" s="66"/>
      <c r="D55" s="66"/>
      <c r="E55" s="66"/>
      <c r="F55" s="83"/>
      <c r="G55" s="66"/>
      <c r="H55" s="84"/>
    </row>
    <row r="56" ht="24.95" customHeight="1" spans="1:8">
      <c r="A56" s="66"/>
      <c r="B56" s="67"/>
      <c r="C56" s="66"/>
      <c r="D56" s="66"/>
      <c r="E56" s="66"/>
      <c r="F56" s="83"/>
      <c r="G56" s="66"/>
      <c r="H56" s="84"/>
    </row>
    <row r="57" ht="24.95" customHeight="1" spans="1:8">
      <c r="A57" s="66"/>
      <c r="B57" s="67"/>
      <c r="C57" s="66"/>
      <c r="D57" s="66"/>
      <c r="E57" s="66"/>
      <c r="F57" s="83"/>
      <c r="G57" s="66"/>
      <c r="H57" s="84"/>
    </row>
    <row r="58" ht="24.95" customHeight="1" spans="1:8">
      <c r="A58" s="66"/>
      <c r="B58" s="67"/>
      <c r="C58" s="66"/>
      <c r="D58" s="66"/>
      <c r="E58" s="66"/>
      <c r="F58" s="83"/>
      <c r="G58" s="66"/>
      <c r="H58" s="84"/>
    </row>
    <row r="59" ht="24.95" customHeight="1" spans="1:8">
      <c r="A59" s="66"/>
      <c r="B59" s="67"/>
      <c r="C59" s="66"/>
      <c r="D59" s="66"/>
      <c r="E59" s="66"/>
      <c r="F59" s="83"/>
      <c r="G59" s="66"/>
      <c r="H59" s="84"/>
    </row>
    <row r="60" ht="24.95" customHeight="1" spans="1:8">
      <c r="A60" s="66"/>
      <c r="B60" s="67"/>
      <c r="C60" s="66"/>
      <c r="D60" s="66"/>
      <c r="E60" s="66"/>
      <c r="F60" s="83"/>
      <c r="G60" s="66"/>
      <c r="H60" s="84"/>
    </row>
    <row r="61" ht="24.95" customHeight="1" spans="1:8">
      <c r="A61" s="66"/>
      <c r="B61" s="67"/>
      <c r="C61" s="66"/>
      <c r="D61" s="66"/>
      <c r="E61" s="66"/>
      <c r="F61" s="83"/>
      <c r="G61" s="66"/>
      <c r="H61" s="84"/>
    </row>
    <row r="62" ht="24.95" customHeight="1" spans="1:8">
      <c r="A62" s="66"/>
      <c r="B62" s="67"/>
      <c r="C62" s="66"/>
      <c r="D62" s="66"/>
      <c r="E62" s="66"/>
      <c r="F62" s="83"/>
      <c r="G62" s="66"/>
      <c r="H62" s="84"/>
    </row>
    <row r="63" ht="24.95" customHeight="1" spans="1:8">
      <c r="A63" s="66"/>
      <c r="B63" s="67"/>
      <c r="C63" s="66"/>
      <c r="D63" s="66"/>
      <c r="E63" s="66"/>
      <c r="F63" s="83"/>
      <c r="G63" s="66"/>
      <c r="H63" s="84"/>
    </row>
    <row r="64" ht="24.95" customHeight="1" spans="1:8">
      <c r="A64" s="66"/>
      <c r="B64" s="67"/>
      <c r="C64" s="66"/>
      <c r="D64" s="66"/>
      <c r="E64" s="66"/>
      <c r="F64" s="83"/>
      <c r="G64" s="66"/>
      <c r="H64" s="84"/>
    </row>
    <row r="65" ht="24.95" customHeight="1" spans="1:8">
      <c r="A65" s="66"/>
      <c r="B65" s="67"/>
      <c r="C65" s="66"/>
      <c r="D65" s="66"/>
      <c r="E65" s="66"/>
      <c r="F65" s="83"/>
      <c r="G65" s="66"/>
      <c r="H65" s="84"/>
    </row>
    <row r="66" ht="24.95" customHeight="1" spans="1:8">
      <c r="A66" s="66"/>
      <c r="B66" s="67"/>
      <c r="C66" s="66"/>
      <c r="D66" s="66"/>
      <c r="E66" s="66"/>
      <c r="F66" s="83"/>
      <c r="G66" s="66"/>
      <c r="H66" s="84"/>
    </row>
    <row r="67" ht="24.95" customHeight="1" spans="1:8">
      <c r="A67" s="66"/>
      <c r="B67" s="67"/>
      <c r="C67" s="66"/>
      <c r="D67" s="66"/>
      <c r="E67" s="66"/>
      <c r="F67" s="83"/>
      <c r="G67" s="66"/>
      <c r="H67" s="84"/>
    </row>
    <row r="68" ht="24.95" customHeight="1" spans="1:8">
      <c r="A68" s="66"/>
      <c r="B68" s="67"/>
      <c r="C68" s="66"/>
      <c r="D68" s="66"/>
      <c r="E68" s="66"/>
      <c r="F68" s="83"/>
      <c r="G68" s="66"/>
      <c r="H68" s="84"/>
    </row>
    <row r="69" ht="24.95" customHeight="1" spans="1:8">
      <c r="A69" s="66"/>
      <c r="B69" s="67"/>
      <c r="C69" s="66"/>
      <c r="D69" s="66"/>
      <c r="E69" s="66"/>
      <c r="F69" s="83"/>
      <c r="G69" s="66"/>
      <c r="H69" s="84"/>
    </row>
    <row r="70" ht="24.95" customHeight="1" spans="1:8">
      <c r="A70" s="66"/>
      <c r="B70" s="67"/>
      <c r="C70" s="66"/>
      <c r="D70" s="66"/>
      <c r="E70" s="66"/>
      <c r="F70" s="83"/>
      <c r="G70" s="66"/>
      <c r="H70" s="84"/>
    </row>
    <row r="71" ht="24.95" customHeight="1" spans="1:8">
      <c r="A71" s="66"/>
      <c r="B71" s="67"/>
      <c r="C71" s="66"/>
      <c r="D71" s="66"/>
      <c r="E71" s="66"/>
      <c r="F71" s="83"/>
      <c r="G71" s="66"/>
      <c r="H71" s="84"/>
    </row>
    <row r="72" ht="24.95" customHeight="1" spans="1:8">
      <c r="A72" s="66"/>
      <c r="B72" s="67"/>
      <c r="C72" s="66"/>
      <c r="D72" s="66"/>
      <c r="E72" s="66"/>
      <c r="F72" s="83"/>
      <c r="G72" s="66"/>
      <c r="H72" s="84"/>
    </row>
    <row r="73" ht="24.95" customHeight="1" spans="1:8">
      <c r="A73" s="66"/>
      <c r="B73" s="67"/>
      <c r="C73" s="66"/>
      <c r="D73" s="66"/>
      <c r="E73" s="66"/>
      <c r="F73" s="83"/>
      <c r="G73" s="66"/>
      <c r="H73" s="84"/>
    </row>
    <row r="74" ht="24.95" customHeight="1" spans="1:8">
      <c r="A74" s="66"/>
      <c r="B74" s="67"/>
      <c r="C74" s="67"/>
      <c r="D74" s="67"/>
      <c r="E74" s="67"/>
      <c r="F74" s="86"/>
      <c r="G74" s="66"/>
      <c r="H74" s="84"/>
    </row>
    <row r="75" ht="24.95" customHeight="1" spans="1:8">
      <c r="A75" s="66"/>
      <c r="B75" s="67"/>
      <c r="C75" s="67"/>
      <c r="D75" s="67"/>
      <c r="E75" s="67"/>
      <c r="F75" s="86"/>
      <c r="G75" s="66"/>
      <c r="H75" s="66"/>
    </row>
    <row r="76" ht="24.95" customHeight="1" spans="1:8">
      <c r="A76" s="66"/>
      <c r="B76" s="67"/>
      <c r="C76" s="67"/>
      <c r="D76" s="67"/>
      <c r="E76" s="67"/>
      <c r="F76" s="86"/>
      <c r="G76" s="66"/>
      <c r="H76" s="66"/>
    </row>
    <row r="77" ht="24.95" customHeight="1" spans="1:8">
      <c r="A77" s="66"/>
      <c r="B77" s="67"/>
      <c r="C77" s="67"/>
      <c r="D77" s="67"/>
      <c r="E77" s="67"/>
      <c r="F77" s="86"/>
      <c r="G77" s="66"/>
      <c r="H77" s="66"/>
    </row>
    <row r="78" ht="24.95" customHeight="1" spans="1:8">
      <c r="A78" s="66"/>
      <c r="B78" s="66"/>
      <c r="C78" s="66"/>
      <c r="D78" s="66"/>
      <c r="E78" s="66"/>
      <c r="F78" s="83"/>
      <c r="G78" s="70"/>
      <c r="H78" s="66"/>
    </row>
    <row r="79" ht="24.95" customHeight="1" spans="1:8">
      <c r="A79" s="66"/>
      <c r="B79" s="71"/>
      <c r="C79" s="71"/>
      <c r="D79" s="72"/>
      <c r="E79" s="72"/>
      <c r="F79" s="87"/>
      <c r="G79" s="72"/>
      <c r="H79" s="66"/>
    </row>
  </sheetData>
  <mergeCells count="3">
    <mergeCell ref="A1:H1"/>
    <mergeCell ref="A78:B78"/>
    <mergeCell ref="H3:H4"/>
  </mergeCells>
  <pageMargins left="0.75" right="0.75" top="1" bottom="1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opLeftCell="A14" workbookViewId="0">
      <selection activeCell="A3" sqref="A3:A27"/>
    </sheetView>
  </sheetViews>
  <sheetFormatPr defaultColWidth="8.75" defaultRowHeight="11.25" outlineLevelCol="7"/>
  <cols>
    <col min="1" max="1" width="6.625" style="62" customWidth="1"/>
    <col min="2" max="2" width="22.625" style="62" customWidth="1"/>
    <col min="3" max="3" width="9.5" style="62" customWidth="1"/>
    <col min="4" max="4" width="9.25" style="62" customWidth="1"/>
    <col min="5" max="5" width="15" style="63" customWidth="1"/>
    <col min="6" max="6" width="14.125" style="62" customWidth="1"/>
    <col min="7" max="7" width="10.625" style="62" customWidth="1"/>
    <col min="8" max="10" width="8.75" style="62"/>
    <col min="11" max="11" width="9.5" style="62"/>
    <col min="12" max="16384" width="8.75" style="62"/>
  </cols>
  <sheetData>
    <row r="1" ht="60" customHeight="1" spans="1:7">
      <c r="A1" s="2" t="s">
        <v>190</v>
      </c>
      <c r="B1" s="2"/>
      <c r="C1" s="2"/>
      <c r="D1" s="2"/>
      <c r="E1" s="35"/>
      <c r="F1" s="2"/>
      <c r="G1" s="2"/>
    </row>
    <row r="2" ht="30" customHeight="1" spans="1:7">
      <c r="A2" s="3" t="s">
        <v>147</v>
      </c>
      <c r="B2" s="3" t="s">
        <v>148</v>
      </c>
      <c r="C2" s="3" t="s">
        <v>149</v>
      </c>
      <c r="D2" s="3" t="s">
        <v>150</v>
      </c>
      <c r="E2" s="64" t="s">
        <v>185</v>
      </c>
      <c r="F2" s="4" t="s">
        <v>186</v>
      </c>
      <c r="G2" s="5" t="s">
        <v>153</v>
      </c>
    </row>
    <row r="3" ht="30" customHeight="1" spans="1:7">
      <c r="A3" s="29">
        <v>1</v>
      </c>
      <c r="B3" s="8" t="s">
        <v>191</v>
      </c>
      <c r="C3" s="6">
        <f>500-256</f>
        <v>244</v>
      </c>
      <c r="D3" s="6"/>
      <c r="E3" s="65">
        <v>3759</v>
      </c>
      <c r="F3" s="65">
        <v>3759</v>
      </c>
      <c r="G3" s="47" t="s">
        <v>192</v>
      </c>
    </row>
    <row r="4" ht="30" customHeight="1" spans="1:7">
      <c r="A4" s="29">
        <v>2</v>
      </c>
      <c r="B4" s="8" t="s">
        <v>193</v>
      </c>
      <c r="C4" s="6">
        <v>820</v>
      </c>
      <c r="D4" s="6"/>
      <c r="E4" s="65">
        <v>12942</v>
      </c>
      <c r="F4" s="65">
        <v>12942</v>
      </c>
      <c r="G4" s="48"/>
    </row>
    <row r="5" ht="30" customHeight="1" spans="1:7">
      <c r="A5" s="29">
        <v>3</v>
      </c>
      <c r="B5" s="8" t="s">
        <v>194</v>
      </c>
      <c r="C5" s="6">
        <f>505-256</f>
        <v>249</v>
      </c>
      <c r="D5" s="6"/>
      <c r="E5" s="65">
        <v>3902</v>
      </c>
      <c r="F5" s="65">
        <v>3902</v>
      </c>
      <c r="G5" s="48"/>
    </row>
    <row r="6" ht="30" customHeight="1" spans="1:7">
      <c r="A6" s="29">
        <v>4</v>
      </c>
      <c r="B6" s="8" t="s">
        <v>195</v>
      </c>
      <c r="C6" s="6">
        <v>793</v>
      </c>
      <c r="D6" s="6"/>
      <c r="E6" s="65">
        <v>12508</v>
      </c>
      <c r="F6" s="65">
        <v>12508</v>
      </c>
      <c r="G6" s="48"/>
    </row>
    <row r="7" ht="30" customHeight="1" spans="1:7">
      <c r="A7" s="29">
        <v>5</v>
      </c>
      <c r="B7" s="8" t="s">
        <v>196</v>
      </c>
      <c r="C7" s="6"/>
      <c r="D7" s="6"/>
      <c r="E7" s="65">
        <v>1722</v>
      </c>
      <c r="F7" s="65">
        <v>1722</v>
      </c>
      <c r="G7" s="49"/>
    </row>
    <row r="8" ht="30" customHeight="1" spans="1:8">
      <c r="A8" s="29">
        <v>6</v>
      </c>
      <c r="B8" s="42" t="s">
        <v>197</v>
      </c>
      <c r="C8" s="42">
        <v>29</v>
      </c>
      <c r="D8" s="6"/>
      <c r="E8" s="11">
        <v>453</v>
      </c>
      <c r="F8" s="11">
        <v>453</v>
      </c>
      <c r="G8" s="50" t="s">
        <v>155</v>
      </c>
      <c r="H8" t="s">
        <v>198</v>
      </c>
    </row>
    <row r="9" ht="30" customHeight="1" spans="1:8">
      <c r="A9" s="29">
        <v>7</v>
      </c>
      <c r="B9" s="42" t="s">
        <v>199</v>
      </c>
      <c r="C9" s="42">
        <v>88.5</v>
      </c>
      <c r="D9" s="42"/>
      <c r="E9" s="11">
        <v>2245</v>
      </c>
      <c r="F9" s="11">
        <v>2245</v>
      </c>
      <c r="G9" s="51"/>
      <c r="H9" t="s">
        <v>198</v>
      </c>
    </row>
    <row r="10" ht="30" customHeight="1" spans="1:8">
      <c r="A10" s="29">
        <v>8</v>
      </c>
      <c r="B10" s="42" t="s">
        <v>200</v>
      </c>
      <c r="C10" s="42">
        <v>79.3</v>
      </c>
      <c r="D10" s="42"/>
      <c r="E10" s="11">
        <v>2147</v>
      </c>
      <c r="F10" s="11">
        <v>2147</v>
      </c>
      <c r="G10" s="51"/>
      <c r="H10" t="s">
        <v>201</v>
      </c>
    </row>
    <row r="11" ht="30" customHeight="1" spans="1:8">
      <c r="A11" s="29">
        <v>9</v>
      </c>
      <c r="B11" s="42" t="s">
        <v>202</v>
      </c>
      <c r="C11" s="42">
        <v>65.5</v>
      </c>
      <c r="D11" s="6"/>
      <c r="E11" s="11">
        <v>1023</v>
      </c>
      <c r="F11" s="11">
        <v>1023</v>
      </c>
      <c r="G11" s="51"/>
      <c r="H11" t="s">
        <v>198</v>
      </c>
    </row>
    <row r="12" ht="30" customHeight="1" spans="1:8">
      <c r="A12" s="29">
        <v>10</v>
      </c>
      <c r="B12" s="42" t="s">
        <v>203</v>
      </c>
      <c r="C12" s="42">
        <v>74.7</v>
      </c>
      <c r="D12" s="6"/>
      <c r="E12" s="11">
        <v>1165</v>
      </c>
      <c r="F12" s="11">
        <v>1165</v>
      </c>
      <c r="G12" s="51"/>
      <c r="H12" t="s">
        <v>201</v>
      </c>
    </row>
    <row r="13" ht="30" customHeight="1" spans="1:8">
      <c r="A13" s="29">
        <v>11</v>
      </c>
      <c r="B13" s="42" t="s">
        <v>154</v>
      </c>
      <c r="C13" s="42">
        <v>170.6</v>
      </c>
      <c r="D13" s="42"/>
      <c r="E13" s="11">
        <v>5179</v>
      </c>
      <c r="F13" s="11">
        <v>5179</v>
      </c>
      <c r="G13" s="51"/>
      <c r="H13" t="s">
        <v>204</v>
      </c>
    </row>
    <row r="14" ht="30" customHeight="1" spans="1:8">
      <c r="A14" s="29">
        <v>12</v>
      </c>
      <c r="B14" s="42" t="s">
        <v>205</v>
      </c>
      <c r="C14" s="42">
        <v>29</v>
      </c>
      <c r="D14" s="42"/>
      <c r="E14" s="11">
        <v>453</v>
      </c>
      <c r="F14" s="11">
        <v>453</v>
      </c>
      <c r="G14" s="51"/>
      <c r="H14" t="s">
        <v>201</v>
      </c>
    </row>
    <row r="15" ht="30" customHeight="1" spans="1:8">
      <c r="A15" s="29">
        <v>13</v>
      </c>
      <c r="B15" s="42" t="s">
        <v>206</v>
      </c>
      <c r="C15" s="42">
        <v>73.9</v>
      </c>
      <c r="D15" s="42"/>
      <c r="E15" s="11">
        <v>628</v>
      </c>
      <c r="F15" s="11">
        <v>628</v>
      </c>
      <c r="G15" s="51"/>
      <c r="H15"/>
    </row>
    <row r="16" ht="30" customHeight="1" spans="1:7">
      <c r="A16" s="29">
        <v>14</v>
      </c>
      <c r="B16" s="42" t="s">
        <v>156</v>
      </c>
      <c r="C16" s="42">
        <v>36.1</v>
      </c>
      <c r="D16" s="42"/>
      <c r="E16" s="11">
        <v>338</v>
      </c>
      <c r="F16" s="11">
        <v>338</v>
      </c>
      <c r="G16" s="51"/>
    </row>
    <row r="17" ht="30" customHeight="1" spans="1:7">
      <c r="A17" s="29">
        <v>15</v>
      </c>
      <c r="B17" s="42" t="s">
        <v>158</v>
      </c>
      <c r="C17" s="42">
        <v>125.9</v>
      </c>
      <c r="D17" s="42"/>
      <c r="E17" s="11">
        <v>1242</v>
      </c>
      <c r="F17" s="11">
        <v>1242</v>
      </c>
      <c r="G17" s="51"/>
    </row>
    <row r="18" ht="30" customHeight="1" spans="1:7">
      <c r="A18" s="29">
        <v>16</v>
      </c>
      <c r="B18" s="42" t="s">
        <v>207</v>
      </c>
      <c r="C18" s="42">
        <v>25.4</v>
      </c>
      <c r="D18" s="42"/>
      <c r="E18" s="11">
        <v>250</v>
      </c>
      <c r="F18" s="11">
        <v>250</v>
      </c>
      <c r="G18" s="51"/>
    </row>
    <row r="19" ht="30" customHeight="1" spans="1:7">
      <c r="A19" s="29">
        <v>17</v>
      </c>
      <c r="B19" s="42" t="s">
        <v>208</v>
      </c>
      <c r="C19" s="42">
        <v>50</v>
      </c>
      <c r="D19" s="42"/>
      <c r="E19" s="11">
        <v>493</v>
      </c>
      <c r="F19" s="11">
        <v>493</v>
      </c>
      <c r="G19" s="51"/>
    </row>
    <row r="20" ht="30" customHeight="1" spans="1:7">
      <c r="A20" s="29">
        <v>18</v>
      </c>
      <c r="B20" s="42" t="s">
        <v>159</v>
      </c>
      <c r="C20" s="42">
        <v>208.4</v>
      </c>
      <c r="D20" s="42"/>
      <c r="E20" s="11">
        <v>2055</v>
      </c>
      <c r="F20" s="11">
        <v>2055</v>
      </c>
      <c r="G20" s="51"/>
    </row>
    <row r="21" ht="30" customHeight="1" spans="1:7">
      <c r="A21" s="29">
        <v>19</v>
      </c>
      <c r="B21" s="42" t="s">
        <v>209</v>
      </c>
      <c r="C21" s="42">
        <v>60</v>
      </c>
      <c r="D21" s="42"/>
      <c r="E21" s="11">
        <v>712</v>
      </c>
      <c r="F21" s="11">
        <v>712</v>
      </c>
      <c r="G21" s="51"/>
    </row>
    <row r="22" ht="30" customHeight="1" spans="1:7">
      <c r="A22" s="29">
        <v>20</v>
      </c>
      <c r="B22" s="42" t="s">
        <v>210</v>
      </c>
      <c r="C22" s="42">
        <v>227.6</v>
      </c>
      <c r="D22" s="42"/>
      <c r="E22" s="11">
        <v>2244</v>
      </c>
      <c r="F22" s="11">
        <v>2244</v>
      </c>
      <c r="G22" s="51"/>
    </row>
    <row r="23" ht="30" customHeight="1" spans="1:7">
      <c r="A23" s="29">
        <v>21</v>
      </c>
      <c r="B23" s="42" t="s">
        <v>211</v>
      </c>
      <c r="C23" s="42">
        <v>213.8</v>
      </c>
      <c r="D23" s="42"/>
      <c r="E23" s="11">
        <v>2108</v>
      </c>
      <c r="F23" s="11">
        <v>2108</v>
      </c>
      <c r="G23" s="51"/>
    </row>
    <row r="24" ht="30" customHeight="1" spans="1:7">
      <c r="A24" s="29">
        <v>22</v>
      </c>
      <c r="B24" s="42" t="s">
        <v>212</v>
      </c>
      <c r="C24" s="42"/>
      <c r="D24" s="42"/>
      <c r="E24" s="11">
        <v>1928</v>
      </c>
      <c r="F24" s="11">
        <v>1928</v>
      </c>
      <c r="G24" s="51"/>
    </row>
    <row r="25" ht="30" customHeight="1" spans="1:7">
      <c r="A25" s="29">
        <v>23</v>
      </c>
      <c r="B25" s="42" t="s">
        <v>213</v>
      </c>
      <c r="C25" s="42"/>
      <c r="D25" s="42"/>
      <c r="E25" s="11">
        <v>1641</v>
      </c>
      <c r="F25" s="11">
        <v>1641</v>
      </c>
      <c r="G25" s="52"/>
    </row>
    <row r="26" ht="30" customHeight="1" spans="1:7">
      <c r="A26" s="29">
        <v>24</v>
      </c>
      <c r="B26" s="42" t="s">
        <v>214</v>
      </c>
      <c r="C26" s="42"/>
      <c r="D26" s="42"/>
      <c r="E26" s="11">
        <v>3162</v>
      </c>
      <c r="F26" s="11">
        <v>3162</v>
      </c>
      <c r="G26" s="50" t="s">
        <v>215</v>
      </c>
    </row>
    <row r="27" ht="30" customHeight="1" spans="1:7">
      <c r="A27" s="29">
        <v>25</v>
      </c>
      <c r="B27" s="42" t="s">
        <v>216</v>
      </c>
      <c r="C27" s="42"/>
      <c r="D27" s="42"/>
      <c r="E27" s="11">
        <v>2403</v>
      </c>
      <c r="F27" s="11">
        <v>2403</v>
      </c>
      <c r="G27" s="52"/>
    </row>
    <row r="28" s="32" customFormat="1" ht="30" customHeight="1" spans="1:7">
      <c r="A28" s="6" t="s">
        <v>160</v>
      </c>
      <c r="B28" s="42"/>
      <c r="C28" s="6"/>
      <c r="D28" s="6"/>
      <c r="E28" s="14">
        <f>SUM(E3:E27)</f>
        <v>66702</v>
      </c>
      <c r="F28" s="14">
        <f>SUM(F3:F27)</f>
        <v>66702</v>
      </c>
      <c r="G28" s="12"/>
    </row>
    <row r="29" s="1" customFormat="1" ht="30" customHeight="1" spans="1:4">
      <c r="A29" s="13" t="s">
        <v>161</v>
      </c>
      <c r="B29" s="13"/>
      <c r="C29" s="13"/>
      <c r="D29" s="13"/>
    </row>
    <row r="30" ht="24.95" customHeight="1" spans="1:7">
      <c r="A30" s="66"/>
      <c r="B30" s="67"/>
      <c r="C30" s="67"/>
      <c r="D30" s="67"/>
      <c r="E30" s="68"/>
      <c r="F30" s="66"/>
      <c r="G30" s="66"/>
    </row>
    <row r="31" ht="24.95" customHeight="1" spans="1:7">
      <c r="A31" s="66"/>
      <c r="B31" s="67"/>
      <c r="C31" s="67"/>
      <c r="D31" s="67"/>
      <c r="E31" s="68"/>
      <c r="F31" s="66"/>
      <c r="G31" s="66"/>
    </row>
    <row r="32" ht="24.95" customHeight="1" spans="1:7">
      <c r="A32" s="66"/>
      <c r="B32" s="66"/>
      <c r="C32" s="66"/>
      <c r="D32" s="66"/>
      <c r="E32" s="69"/>
      <c r="F32" s="70"/>
      <c r="G32" s="66"/>
    </row>
    <row r="33" ht="24.95" customHeight="1" spans="1:7">
      <c r="A33" s="66"/>
      <c r="B33" s="71"/>
      <c r="C33" s="71"/>
      <c r="D33" s="72"/>
      <c r="E33" s="73"/>
      <c r="F33" s="72"/>
      <c r="G33" s="66"/>
    </row>
  </sheetData>
  <mergeCells count="5">
    <mergeCell ref="A1:G1"/>
    <mergeCell ref="A32:B32"/>
    <mergeCell ref="G3:G7"/>
    <mergeCell ref="G8:G25"/>
    <mergeCell ref="G26:G27"/>
  </mergeCells>
  <pageMargins left="0.751388888888889" right="0.751388888888889" top="1" bottom="0.684027777777778" header="0.511805555555556" footer="0.51180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opLeftCell="A18" workbookViewId="0">
      <selection activeCell="A3" sqref="A3:A34"/>
    </sheetView>
  </sheetViews>
  <sheetFormatPr defaultColWidth="8.75" defaultRowHeight="13.5" outlineLevelCol="7"/>
  <cols>
    <col min="1" max="1" width="6.625" style="33" customWidth="1"/>
    <col min="2" max="2" width="25.625" style="33" customWidth="1"/>
    <col min="3" max="4" width="10.625" style="33" customWidth="1"/>
    <col min="5" max="5" width="12.25" style="34" customWidth="1"/>
    <col min="6" max="6" width="12.875" style="33" customWidth="1"/>
    <col min="7" max="7" width="8.5" style="33" customWidth="1"/>
    <col min="8" max="16384" width="8.75" style="33"/>
  </cols>
  <sheetData>
    <row r="1" ht="60" customHeight="1" spans="1:7">
      <c r="A1" s="2" t="s">
        <v>217</v>
      </c>
      <c r="B1" s="2"/>
      <c r="C1" s="2"/>
      <c r="D1" s="2"/>
      <c r="E1" s="35"/>
      <c r="F1" s="2"/>
      <c r="G1" s="2"/>
    </row>
    <row r="2" ht="30" customHeight="1" spans="1:7">
      <c r="A2" s="3" t="s">
        <v>147</v>
      </c>
      <c r="B2" s="3" t="s">
        <v>148</v>
      </c>
      <c r="C2" s="3" t="s">
        <v>149</v>
      </c>
      <c r="D2" s="3" t="s">
        <v>150</v>
      </c>
      <c r="E2" s="36" t="s">
        <v>218</v>
      </c>
      <c r="F2" s="4" t="s">
        <v>219</v>
      </c>
      <c r="G2" s="5" t="s">
        <v>153</v>
      </c>
    </row>
    <row r="3" ht="30" customHeight="1" spans="1:7">
      <c r="A3" s="6">
        <v>1</v>
      </c>
      <c r="B3" s="6" t="s">
        <v>220</v>
      </c>
      <c r="C3" s="6">
        <f>500-256</f>
        <v>244</v>
      </c>
      <c r="D3" s="6">
        <v>15.28</v>
      </c>
      <c r="E3" s="14">
        <f t="shared" ref="E3:E6" si="0">D3*C3</f>
        <v>3728.32</v>
      </c>
      <c r="F3" s="11">
        <v>3688</v>
      </c>
      <c r="G3" s="50" t="s">
        <v>192</v>
      </c>
    </row>
    <row r="4" ht="30" customHeight="1" spans="1:7">
      <c r="A4" s="6">
        <v>2</v>
      </c>
      <c r="B4" s="6" t="s">
        <v>193</v>
      </c>
      <c r="C4" s="6">
        <v>820</v>
      </c>
      <c r="D4" s="6">
        <v>15.28</v>
      </c>
      <c r="E4" s="14">
        <f t="shared" si="0"/>
        <v>12529.6</v>
      </c>
      <c r="F4" s="11">
        <v>12697</v>
      </c>
      <c r="G4" s="51"/>
    </row>
    <row r="5" ht="30" customHeight="1" spans="1:7">
      <c r="A5" s="6">
        <v>3</v>
      </c>
      <c r="B5" s="6" t="s">
        <v>194</v>
      </c>
      <c r="C5" s="6">
        <f>505-256</f>
        <v>249</v>
      </c>
      <c r="D5" s="6">
        <v>15.28</v>
      </c>
      <c r="E5" s="14">
        <f t="shared" si="0"/>
        <v>3804.72</v>
      </c>
      <c r="F5" s="11">
        <v>3828</v>
      </c>
      <c r="G5" s="51"/>
    </row>
    <row r="6" ht="30" customHeight="1" spans="1:7">
      <c r="A6" s="6">
        <v>4</v>
      </c>
      <c r="B6" s="10" t="s">
        <v>195</v>
      </c>
      <c r="C6" s="6">
        <v>793</v>
      </c>
      <c r="D6" s="6">
        <v>15.28</v>
      </c>
      <c r="E6" s="14">
        <f t="shared" si="0"/>
        <v>12117.04</v>
      </c>
      <c r="F6" s="11">
        <v>12271</v>
      </c>
      <c r="G6" s="51"/>
    </row>
    <row r="7" ht="30" customHeight="1" spans="1:7">
      <c r="A7" s="6">
        <v>5</v>
      </c>
      <c r="B7" s="6" t="s">
        <v>196</v>
      </c>
      <c r="C7" s="6"/>
      <c r="D7" s="6"/>
      <c r="E7" s="14">
        <v>1711</v>
      </c>
      <c r="F7" s="11">
        <v>1711</v>
      </c>
      <c r="G7" s="52"/>
    </row>
    <row r="8" customFormat="1" ht="30" customHeight="1" spans="1:8">
      <c r="A8" s="6">
        <v>6</v>
      </c>
      <c r="B8" s="42" t="s">
        <v>197</v>
      </c>
      <c r="C8" s="42">
        <v>29</v>
      </c>
      <c r="D8" s="42">
        <f t="shared" ref="D8:D12" si="1">14.75+0.28</f>
        <v>15.03</v>
      </c>
      <c r="E8" s="24">
        <f t="shared" ref="E8:E14" si="2">C8*D8</f>
        <v>435.87</v>
      </c>
      <c r="F8" s="11">
        <v>444</v>
      </c>
      <c r="G8" s="50" t="s">
        <v>155</v>
      </c>
      <c r="H8" t="s">
        <v>198</v>
      </c>
    </row>
    <row r="9" customFormat="1" ht="30" customHeight="1" spans="1:8">
      <c r="A9" s="6">
        <v>7</v>
      </c>
      <c r="B9" s="42" t="s">
        <v>199</v>
      </c>
      <c r="C9" s="42">
        <v>88.5</v>
      </c>
      <c r="D9" s="42"/>
      <c r="E9" s="24">
        <v>2218</v>
      </c>
      <c r="F9" s="11">
        <v>2218</v>
      </c>
      <c r="G9" s="51"/>
      <c r="H9" t="s">
        <v>198</v>
      </c>
    </row>
    <row r="10" customFormat="1" ht="30" customHeight="1" spans="1:8">
      <c r="A10" s="6">
        <v>8</v>
      </c>
      <c r="B10" s="42" t="s">
        <v>200</v>
      </c>
      <c r="C10" s="42">
        <v>79.3</v>
      </c>
      <c r="D10" s="42"/>
      <c r="E10" s="24">
        <v>2123</v>
      </c>
      <c r="F10" s="11">
        <v>2123</v>
      </c>
      <c r="G10" s="51"/>
      <c r="H10" t="s">
        <v>201</v>
      </c>
    </row>
    <row r="11" customFormat="1" ht="30" customHeight="1" spans="1:8">
      <c r="A11" s="6">
        <v>9</v>
      </c>
      <c r="B11" s="42" t="s">
        <v>202</v>
      </c>
      <c r="C11" s="42">
        <v>65.5</v>
      </c>
      <c r="D11" s="42">
        <f t="shared" si="1"/>
        <v>15.03</v>
      </c>
      <c r="E11" s="24">
        <f t="shared" si="2"/>
        <v>984.465</v>
      </c>
      <c r="F11" s="11">
        <v>1003</v>
      </c>
      <c r="G11" s="51"/>
      <c r="H11" t="s">
        <v>198</v>
      </c>
    </row>
    <row r="12" customFormat="1" ht="30" customHeight="1" spans="1:8">
      <c r="A12" s="6">
        <v>10</v>
      </c>
      <c r="B12" s="42" t="s">
        <v>203</v>
      </c>
      <c r="C12" s="42">
        <v>74.7</v>
      </c>
      <c r="D12" s="42">
        <f t="shared" si="1"/>
        <v>15.03</v>
      </c>
      <c r="E12" s="24">
        <f t="shared" si="2"/>
        <v>1122.741</v>
      </c>
      <c r="F12" s="11">
        <v>1143</v>
      </c>
      <c r="G12" s="51"/>
      <c r="H12" t="s">
        <v>201</v>
      </c>
    </row>
    <row r="13" customFormat="1" ht="30" customHeight="1" spans="1:8">
      <c r="A13" s="6">
        <v>11</v>
      </c>
      <c r="B13" s="42" t="s">
        <v>154</v>
      </c>
      <c r="C13" s="42">
        <v>170.6</v>
      </c>
      <c r="D13" s="42">
        <f>29.5+0.56</f>
        <v>30.06</v>
      </c>
      <c r="E13" s="24">
        <f t="shared" si="2"/>
        <v>5128.236</v>
      </c>
      <c r="F13" s="11">
        <v>5128</v>
      </c>
      <c r="G13" s="51"/>
      <c r="H13" t="s">
        <v>204</v>
      </c>
    </row>
    <row r="14" customFormat="1" ht="30" customHeight="1" spans="1:8">
      <c r="A14" s="6">
        <v>12</v>
      </c>
      <c r="B14" s="42" t="s">
        <v>205</v>
      </c>
      <c r="C14" s="42">
        <v>29</v>
      </c>
      <c r="D14" s="42">
        <f>14.75+0.28</f>
        <v>15.03</v>
      </c>
      <c r="E14" s="24">
        <f t="shared" si="2"/>
        <v>435.87</v>
      </c>
      <c r="F14" s="11">
        <v>444</v>
      </c>
      <c r="G14" s="51"/>
      <c r="H14" t="s">
        <v>201</v>
      </c>
    </row>
    <row r="15" customFormat="1" ht="30" customHeight="1" spans="1:7">
      <c r="A15" s="6">
        <v>13</v>
      </c>
      <c r="B15" s="42" t="s">
        <v>206</v>
      </c>
      <c r="C15" s="42">
        <v>73.9</v>
      </c>
      <c r="D15" s="42"/>
      <c r="E15" s="24">
        <v>606</v>
      </c>
      <c r="F15" s="11">
        <v>606</v>
      </c>
      <c r="G15" s="51"/>
    </row>
    <row r="16" customFormat="1" ht="30" customHeight="1" spans="1:7">
      <c r="A16" s="6">
        <v>14</v>
      </c>
      <c r="B16" s="42" t="s">
        <v>156</v>
      </c>
      <c r="C16" s="42">
        <v>36.1</v>
      </c>
      <c r="D16" s="42"/>
      <c r="E16" s="24">
        <v>328</v>
      </c>
      <c r="F16" s="11">
        <v>328</v>
      </c>
      <c r="G16" s="51"/>
    </row>
    <row r="17" customFormat="1" ht="30" customHeight="1" spans="1:7">
      <c r="A17" s="6">
        <v>15</v>
      </c>
      <c r="B17" s="42" t="s">
        <v>158</v>
      </c>
      <c r="C17" s="42">
        <v>125.9</v>
      </c>
      <c r="D17" s="42">
        <f t="shared" ref="D17:D20" si="3">9+0.56</f>
        <v>9.56</v>
      </c>
      <c r="E17" s="24">
        <f t="shared" ref="E17:E20" si="4">C17*D17</f>
        <v>1203.604</v>
      </c>
      <c r="F17" s="11">
        <v>1204</v>
      </c>
      <c r="G17" s="51"/>
    </row>
    <row r="18" customFormat="1" ht="30" customHeight="1" spans="1:7">
      <c r="A18" s="6">
        <v>16</v>
      </c>
      <c r="B18" s="42" t="s">
        <v>207</v>
      </c>
      <c r="C18" s="42">
        <v>25.4</v>
      </c>
      <c r="D18" s="42">
        <f t="shared" si="3"/>
        <v>9.56</v>
      </c>
      <c r="E18" s="24">
        <f t="shared" si="4"/>
        <v>242.824</v>
      </c>
      <c r="F18" s="11">
        <v>243</v>
      </c>
      <c r="G18" s="51"/>
    </row>
    <row r="19" customFormat="1" ht="30" customHeight="1" spans="1:7">
      <c r="A19" s="6">
        <v>17</v>
      </c>
      <c r="B19" s="42" t="s">
        <v>208</v>
      </c>
      <c r="C19" s="42">
        <v>50</v>
      </c>
      <c r="D19" s="42">
        <f t="shared" si="3"/>
        <v>9.56</v>
      </c>
      <c r="E19" s="24">
        <f t="shared" si="4"/>
        <v>478</v>
      </c>
      <c r="F19" s="11">
        <v>478</v>
      </c>
      <c r="G19" s="51"/>
    </row>
    <row r="20" customFormat="1" ht="30" customHeight="1" spans="1:7">
      <c r="A20" s="6">
        <v>18</v>
      </c>
      <c r="B20" s="42" t="s">
        <v>159</v>
      </c>
      <c r="C20" s="42">
        <v>208.4</v>
      </c>
      <c r="D20" s="42">
        <f t="shared" si="3"/>
        <v>9.56</v>
      </c>
      <c r="E20" s="24">
        <f t="shared" si="4"/>
        <v>1992.304</v>
      </c>
      <c r="F20" s="11">
        <v>1992</v>
      </c>
      <c r="G20" s="51"/>
    </row>
    <row r="21" customFormat="1" ht="30" customHeight="1" spans="1:7">
      <c r="A21" s="6">
        <v>19</v>
      </c>
      <c r="B21" s="42" t="s">
        <v>209</v>
      </c>
      <c r="C21" s="42">
        <v>60</v>
      </c>
      <c r="D21" s="42"/>
      <c r="E21" s="24">
        <v>664</v>
      </c>
      <c r="F21" s="11">
        <v>694</v>
      </c>
      <c r="G21" s="51"/>
    </row>
    <row r="22" customFormat="1" ht="30" customHeight="1" spans="1:7">
      <c r="A22" s="6">
        <v>20</v>
      </c>
      <c r="B22" s="42" t="s">
        <v>210</v>
      </c>
      <c r="C22" s="42">
        <v>227.6</v>
      </c>
      <c r="D22" s="42">
        <f>9+0.56</f>
        <v>9.56</v>
      </c>
      <c r="E22" s="24">
        <f>C22*D22</f>
        <v>2175.856</v>
      </c>
      <c r="F22" s="11">
        <v>2175</v>
      </c>
      <c r="G22" s="51"/>
    </row>
    <row r="23" customFormat="1" ht="30" customHeight="1" spans="1:7">
      <c r="A23" s="6">
        <v>21</v>
      </c>
      <c r="B23" s="42" t="s">
        <v>211</v>
      </c>
      <c r="C23" s="42">
        <v>213.8</v>
      </c>
      <c r="D23" s="42">
        <f>9+0.56</f>
        <v>9.56</v>
      </c>
      <c r="E23" s="24">
        <f>C23*D23</f>
        <v>2043.928</v>
      </c>
      <c r="F23" s="11">
        <v>2044</v>
      </c>
      <c r="G23" s="51"/>
    </row>
    <row r="24" customFormat="1" ht="30" customHeight="1" spans="1:7">
      <c r="A24" s="6">
        <v>22</v>
      </c>
      <c r="B24" s="42" t="s">
        <v>212</v>
      </c>
      <c r="C24" s="42"/>
      <c r="D24" s="42"/>
      <c r="E24" s="24">
        <v>1836</v>
      </c>
      <c r="F24" s="11">
        <v>1836</v>
      </c>
      <c r="G24" s="51"/>
    </row>
    <row r="25" customFormat="1" ht="30" customHeight="1" spans="1:7">
      <c r="A25" s="6">
        <v>23</v>
      </c>
      <c r="B25" s="42" t="s">
        <v>213</v>
      </c>
      <c r="C25" s="42"/>
      <c r="D25" s="42"/>
      <c r="E25" s="24">
        <v>1562</v>
      </c>
      <c r="F25" s="11">
        <v>1562</v>
      </c>
      <c r="G25" s="52"/>
    </row>
    <row r="26" customFormat="1" ht="30" customHeight="1" spans="1:7">
      <c r="A26" s="6">
        <v>24</v>
      </c>
      <c r="B26" s="42" t="s">
        <v>221</v>
      </c>
      <c r="C26" s="42"/>
      <c r="D26" s="42"/>
      <c r="E26" s="11">
        <v>154.5</v>
      </c>
      <c r="F26" s="11">
        <v>154.5</v>
      </c>
      <c r="G26" s="50" t="s">
        <v>222</v>
      </c>
    </row>
    <row r="27" customFormat="1" ht="30" customHeight="1" spans="1:7">
      <c r="A27" s="6">
        <v>25</v>
      </c>
      <c r="B27" s="42" t="s">
        <v>223</v>
      </c>
      <c r="C27" s="42"/>
      <c r="D27" s="42"/>
      <c r="E27" s="11">
        <v>3012</v>
      </c>
      <c r="F27" s="11">
        <v>204.5</v>
      </c>
      <c r="G27" s="52"/>
    </row>
    <row r="28" customFormat="1" ht="30" customHeight="1" spans="1:7">
      <c r="A28" s="6">
        <v>26</v>
      </c>
      <c r="B28" s="42" t="s">
        <v>214</v>
      </c>
      <c r="C28" s="42"/>
      <c r="D28" s="42"/>
      <c r="E28" s="11">
        <v>2289</v>
      </c>
      <c r="F28" s="11">
        <v>3012</v>
      </c>
      <c r="G28" s="50" t="s">
        <v>215</v>
      </c>
    </row>
    <row r="29" customFormat="1" ht="30" customHeight="1" spans="1:7">
      <c r="A29" s="6">
        <v>27</v>
      </c>
      <c r="B29" s="42" t="s">
        <v>216</v>
      </c>
      <c r="C29" s="42"/>
      <c r="D29" s="42"/>
      <c r="E29" s="24">
        <v>2180</v>
      </c>
      <c r="F29" s="11">
        <v>2289</v>
      </c>
      <c r="G29" s="52"/>
    </row>
    <row r="30" customFormat="1" ht="30" customHeight="1" spans="1:7">
      <c r="A30" s="6">
        <v>28</v>
      </c>
      <c r="B30" s="42" t="s">
        <v>224</v>
      </c>
      <c r="C30" s="42">
        <v>111</v>
      </c>
      <c r="D30" s="42">
        <v>6.5</v>
      </c>
      <c r="E30" s="24">
        <f>C30*D30</f>
        <v>721.5</v>
      </c>
      <c r="F30" s="11">
        <v>722</v>
      </c>
      <c r="G30" s="51"/>
    </row>
    <row r="31" customFormat="1" ht="30" customHeight="1" spans="1:7">
      <c r="A31" s="6">
        <v>29</v>
      </c>
      <c r="B31" s="42" t="s">
        <v>225</v>
      </c>
      <c r="C31" s="42">
        <v>406</v>
      </c>
      <c r="D31" s="42">
        <v>6.5</v>
      </c>
      <c r="E31" s="24">
        <f>C31*D31</f>
        <v>2639</v>
      </c>
      <c r="F31" s="11">
        <v>2639</v>
      </c>
      <c r="G31" s="50" t="s">
        <v>226</v>
      </c>
    </row>
    <row r="32" customFormat="1" ht="30" customHeight="1" spans="1:7">
      <c r="A32" s="6">
        <v>30</v>
      </c>
      <c r="B32" s="42" t="s">
        <v>227</v>
      </c>
      <c r="C32" s="42">
        <v>404</v>
      </c>
      <c r="D32" s="42">
        <v>6.5</v>
      </c>
      <c r="E32" s="24">
        <f>C32*D32</f>
        <v>2626</v>
      </c>
      <c r="F32" s="11">
        <v>2626</v>
      </c>
      <c r="G32" s="52"/>
    </row>
    <row r="33" customFormat="1" ht="30" customHeight="1" spans="1:7">
      <c r="A33" s="6">
        <v>31</v>
      </c>
      <c r="B33" s="42" t="s">
        <v>228</v>
      </c>
      <c r="C33" s="42">
        <v>180</v>
      </c>
      <c r="D33" s="42">
        <v>7.5</v>
      </c>
      <c r="E33" s="24">
        <f>C33*D33</f>
        <v>1350</v>
      </c>
      <c r="F33" s="11">
        <v>1350</v>
      </c>
      <c r="G33" s="52"/>
    </row>
    <row r="34" customFormat="1" ht="30" customHeight="1" spans="1:7">
      <c r="A34" s="6">
        <v>32</v>
      </c>
      <c r="B34" s="42" t="s">
        <v>229</v>
      </c>
      <c r="C34" s="42">
        <v>240</v>
      </c>
      <c r="D34" s="42">
        <v>7.5</v>
      </c>
      <c r="E34" s="24">
        <f>C34*D34</f>
        <v>1800</v>
      </c>
      <c r="F34" s="11">
        <v>1800</v>
      </c>
      <c r="G34" s="12"/>
    </row>
    <row r="35" s="32" customFormat="1" ht="30" customHeight="1" spans="1:7">
      <c r="A35" s="6" t="s">
        <v>160</v>
      </c>
      <c r="B35" s="42"/>
      <c r="C35" s="6"/>
      <c r="D35" s="6"/>
      <c r="E35" s="14">
        <f>SUM(E3:E34)</f>
        <v>76243.378</v>
      </c>
      <c r="F35" s="6">
        <f>SUM(F3:F34)</f>
        <v>74657</v>
      </c>
      <c r="G35" s="12"/>
    </row>
    <row r="36" s="1" customFormat="1" ht="30" customHeight="1" spans="1:4">
      <c r="A36" s="13" t="s">
        <v>161</v>
      </c>
      <c r="B36" s="13"/>
      <c r="C36" s="13"/>
      <c r="D36" s="13"/>
    </row>
  </sheetData>
  <mergeCells count="6">
    <mergeCell ref="A1:G1"/>
    <mergeCell ref="G3:G7"/>
    <mergeCell ref="G8:G25"/>
    <mergeCell ref="G26:G27"/>
    <mergeCell ref="G28:G29"/>
    <mergeCell ref="G31:G32"/>
  </mergeCells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workbookViewId="0">
      <selection activeCell="A3" sqref="A3:A54"/>
    </sheetView>
  </sheetViews>
  <sheetFormatPr defaultColWidth="8.75" defaultRowHeight="13.5" outlineLevelCol="7"/>
  <cols>
    <col min="1" max="1" width="6.625" style="33" customWidth="1"/>
    <col min="2" max="2" width="25.625" style="33" customWidth="1"/>
    <col min="3" max="4" width="10.625" style="33" customWidth="1"/>
    <col min="5" max="5" width="12.25" style="34" customWidth="1"/>
    <col min="6" max="6" width="12.875" style="55" customWidth="1"/>
    <col min="7" max="7" width="8.5" style="33" customWidth="1"/>
    <col min="8" max="16384" width="8.75" style="33"/>
  </cols>
  <sheetData>
    <row r="1" ht="60" customHeight="1" spans="1:7">
      <c r="A1" s="2" t="s">
        <v>230</v>
      </c>
      <c r="B1" s="2"/>
      <c r="C1" s="2"/>
      <c r="D1" s="2"/>
      <c r="E1" s="35"/>
      <c r="F1" s="56"/>
      <c r="G1" s="2"/>
    </row>
    <row r="2" ht="30" customHeight="1" spans="1:7">
      <c r="A2" s="3" t="s">
        <v>147</v>
      </c>
      <c r="B2" s="3" t="s">
        <v>148</v>
      </c>
      <c r="C2" s="3" t="s">
        <v>149</v>
      </c>
      <c r="D2" s="3" t="s">
        <v>150</v>
      </c>
      <c r="E2" s="36" t="s">
        <v>218</v>
      </c>
      <c r="F2" s="57" t="s">
        <v>219</v>
      </c>
      <c r="G2" s="5" t="s">
        <v>153</v>
      </c>
    </row>
    <row r="3" ht="39" customHeight="1" spans="1:7">
      <c r="A3" s="6">
        <v>1</v>
      </c>
      <c r="B3" s="43" t="s">
        <v>231</v>
      </c>
      <c r="C3" s="7">
        <v>6</v>
      </c>
      <c r="D3" s="7">
        <v>15</v>
      </c>
      <c r="E3" s="14">
        <f t="shared" ref="E3:E10" si="0">D3*C3</f>
        <v>90</v>
      </c>
      <c r="F3" s="58">
        <v>90</v>
      </c>
      <c r="G3" s="47" t="s">
        <v>232</v>
      </c>
    </row>
    <row r="4" ht="30" customHeight="1" spans="1:7">
      <c r="A4" s="6">
        <v>2</v>
      </c>
      <c r="B4" s="43" t="s">
        <v>233</v>
      </c>
      <c r="C4" s="6">
        <v>8</v>
      </c>
      <c r="D4" s="6">
        <v>15</v>
      </c>
      <c r="E4" s="14">
        <f t="shared" si="0"/>
        <v>120</v>
      </c>
      <c r="F4" s="58">
        <v>121</v>
      </c>
      <c r="G4" s="48"/>
    </row>
    <row r="5" ht="30" customHeight="1" spans="1:7">
      <c r="A5" s="6">
        <v>3</v>
      </c>
      <c r="B5" s="6" t="s">
        <v>234</v>
      </c>
      <c r="C5" s="6">
        <v>8</v>
      </c>
      <c r="D5" s="6">
        <v>15</v>
      </c>
      <c r="E5" s="14">
        <f t="shared" si="0"/>
        <v>120</v>
      </c>
      <c r="F5" s="58">
        <v>121</v>
      </c>
      <c r="G5" s="48"/>
    </row>
    <row r="6" ht="30" customHeight="1" spans="1:7">
      <c r="A6" s="6">
        <v>4</v>
      </c>
      <c r="B6" s="6" t="s">
        <v>235</v>
      </c>
      <c r="C6" s="6">
        <v>6</v>
      </c>
      <c r="D6" s="6">
        <v>15</v>
      </c>
      <c r="E6" s="14">
        <f t="shared" si="0"/>
        <v>90</v>
      </c>
      <c r="F6" s="58">
        <v>90</v>
      </c>
      <c r="G6" s="49"/>
    </row>
    <row r="7" ht="30" customHeight="1" spans="1:7">
      <c r="A7" s="6">
        <v>5</v>
      </c>
      <c r="B7" s="6" t="s">
        <v>220</v>
      </c>
      <c r="C7" s="6">
        <f>500-256</f>
        <v>244</v>
      </c>
      <c r="D7" s="6">
        <v>30.14</v>
      </c>
      <c r="E7" s="14">
        <f t="shared" si="0"/>
        <v>7354.16</v>
      </c>
      <c r="F7" s="58">
        <v>7.176</v>
      </c>
      <c r="G7" s="50" t="s">
        <v>192</v>
      </c>
    </row>
    <row r="8" ht="30" customHeight="1" spans="1:7">
      <c r="A8" s="6">
        <v>6</v>
      </c>
      <c r="B8" s="6" t="s">
        <v>193</v>
      </c>
      <c r="C8" s="6">
        <v>820</v>
      </c>
      <c r="D8" s="6">
        <v>30.14</v>
      </c>
      <c r="E8" s="14">
        <f t="shared" si="0"/>
        <v>24714.8</v>
      </c>
      <c r="F8" s="58">
        <v>24708</v>
      </c>
      <c r="G8" s="51"/>
    </row>
    <row r="9" ht="30" customHeight="1" spans="1:7">
      <c r="A9" s="6">
        <v>7</v>
      </c>
      <c r="B9" s="6" t="s">
        <v>194</v>
      </c>
      <c r="C9" s="6">
        <f>505-256</f>
        <v>249</v>
      </c>
      <c r="D9" s="6">
        <v>30.14</v>
      </c>
      <c r="E9" s="14">
        <f t="shared" si="0"/>
        <v>7504.86</v>
      </c>
      <c r="F9" s="58">
        <v>7449</v>
      </c>
      <c r="G9" s="51"/>
    </row>
    <row r="10" ht="30" customHeight="1" spans="1:7">
      <c r="A10" s="6">
        <v>8</v>
      </c>
      <c r="B10" s="10" t="s">
        <v>195</v>
      </c>
      <c r="C10" s="6">
        <v>793</v>
      </c>
      <c r="D10" s="6">
        <v>30.14</v>
      </c>
      <c r="E10" s="14">
        <f t="shared" si="0"/>
        <v>23901.02</v>
      </c>
      <c r="F10" s="58">
        <v>23880</v>
      </c>
      <c r="G10" s="51"/>
    </row>
    <row r="11" ht="30" customHeight="1" spans="1:7">
      <c r="A11" s="6">
        <v>9</v>
      </c>
      <c r="B11" s="6" t="s">
        <v>196</v>
      </c>
      <c r="C11" s="6"/>
      <c r="D11" s="6"/>
      <c r="E11" s="14">
        <v>3380</v>
      </c>
      <c r="F11" s="58">
        <v>3380</v>
      </c>
      <c r="G11" s="52"/>
    </row>
    <row r="12" ht="30" customHeight="1" spans="1:8">
      <c r="A12" s="6">
        <v>10</v>
      </c>
      <c r="B12" s="10" t="s">
        <v>236</v>
      </c>
      <c r="C12" s="6">
        <v>1180</v>
      </c>
      <c r="D12" s="6">
        <v>11.5</v>
      </c>
      <c r="E12" s="24">
        <f t="shared" ref="E12:E25" si="1">C12*D12</f>
        <v>13570</v>
      </c>
      <c r="F12" s="58">
        <v>13570</v>
      </c>
      <c r="G12" s="50" t="s">
        <v>237</v>
      </c>
      <c r="H12" s="33" t="s">
        <v>238</v>
      </c>
    </row>
    <row r="13" ht="30" customHeight="1" spans="1:8">
      <c r="A13" s="6">
        <v>11</v>
      </c>
      <c r="B13" s="6" t="s">
        <v>239</v>
      </c>
      <c r="C13" s="6">
        <v>1211</v>
      </c>
      <c r="D13" s="6">
        <v>11.5</v>
      </c>
      <c r="E13" s="24">
        <f t="shared" si="1"/>
        <v>13926.5</v>
      </c>
      <c r="F13" s="58">
        <v>13927</v>
      </c>
      <c r="G13" s="51"/>
      <c r="H13" s="33" t="s">
        <v>240</v>
      </c>
    </row>
    <row r="14" ht="30" customHeight="1" spans="1:8">
      <c r="A14" s="6">
        <v>12</v>
      </c>
      <c r="B14" s="10" t="s">
        <v>241</v>
      </c>
      <c r="C14" s="10">
        <v>240</v>
      </c>
      <c r="D14" s="10">
        <v>15</v>
      </c>
      <c r="E14" s="24">
        <f t="shared" si="1"/>
        <v>3600</v>
      </c>
      <c r="F14" s="58">
        <v>3600</v>
      </c>
      <c r="G14" s="51"/>
      <c r="H14" s="33" t="s">
        <v>242</v>
      </c>
    </row>
    <row r="15" ht="30" customHeight="1" spans="1:8">
      <c r="A15" s="6">
        <v>13</v>
      </c>
      <c r="B15" s="42" t="s">
        <v>243</v>
      </c>
      <c r="C15" s="42">
        <v>240</v>
      </c>
      <c r="D15" s="42">
        <v>15</v>
      </c>
      <c r="E15" s="24">
        <f t="shared" si="1"/>
        <v>3600</v>
      </c>
      <c r="F15" s="58">
        <v>3600</v>
      </c>
      <c r="G15" s="52"/>
      <c r="H15" s="33" t="s">
        <v>244</v>
      </c>
    </row>
    <row r="16" ht="30" customHeight="1" spans="1:7">
      <c r="A16" s="6">
        <v>14</v>
      </c>
      <c r="B16" s="42" t="s">
        <v>245</v>
      </c>
      <c r="C16" s="42">
        <v>8</v>
      </c>
      <c r="D16" s="42">
        <v>15</v>
      </c>
      <c r="E16" s="24">
        <f t="shared" si="1"/>
        <v>120</v>
      </c>
      <c r="F16" s="59">
        <v>237</v>
      </c>
      <c r="G16" s="51"/>
    </row>
    <row r="17" ht="30" customHeight="1" spans="1:7">
      <c r="A17" s="6">
        <v>15</v>
      </c>
      <c r="B17" s="42" t="s">
        <v>246</v>
      </c>
      <c r="C17" s="42">
        <v>8</v>
      </c>
      <c r="D17" s="42">
        <v>17.15</v>
      </c>
      <c r="E17" s="24">
        <f t="shared" si="1"/>
        <v>137.2</v>
      </c>
      <c r="F17" s="60"/>
      <c r="G17" s="50" t="s">
        <v>247</v>
      </c>
    </row>
    <row r="18" ht="30" customHeight="1" spans="1:7">
      <c r="A18" s="6">
        <v>16</v>
      </c>
      <c r="B18" s="42" t="s">
        <v>248</v>
      </c>
      <c r="C18" s="42">
        <v>8</v>
      </c>
      <c r="D18" s="42">
        <v>19.94</v>
      </c>
      <c r="E18" s="24">
        <f t="shared" si="1"/>
        <v>159.52</v>
      </c>
      <c r="F18" s="59">
        <v>314</v>
      </c>
      <c r="G18" s="51"/>
    </row>
    <row r="19" ht="30" customHeight="1" spans="1:7">
      <c r="A19" s="6">
        <v>17</v>
      </c>
      <c r="B19" s="42" t="s">
        <v>248</v>
      </c>
      <c r="C19" s="42">
        <v>8</v>
      </c>
      <c r="D19" s="42">
        <v>19.785</v>
      </c>
      <c r="E19" s="24">
        <f t="shared" si="1"/>
        <v>158.28</v>
      </c>
      <c r="F19" s="60"/>
      <c r="G19" s="51"/>
    </row>
    <row r="20" ht="30" customHeight="1" spans="1:7">
      <c r="A20" s="6">
        <v>18</v>
      </c>
      <c r="B20" s="42" t="s">
        <v>249</v>
      </c>
      <c r="C20" s="42">
        <v>8</v>
      </c>
      <c r="D20" s="42">
        <v>32</v>
      </c>
      <c r="E20" s="24">
        <f t="shared" si="1"/>
        <v>256</v>
      </c>
      <c r="F20" s="58">
        <v>237</v>
      </c>
      <c r="G20" s="51"/>
    </row>
    <row r="21" ht="30" customHeight="1" spans="1:7">
      <c r="A21" s="6">
        <v>19</v>
      </c>
      <c r="B21" s="42" t="s">
        <v>250</v>
      </c>
      <c r="C21" s="42">
        <v>6</v>
      </c>
      <c r="D21" s="42">
        <v>9</v>
      </c>
      <c r="E21" s="24">
        <f t="shared" si="1"/>
        <v>54</v>
      </c>
      <c r="F21" s="58">
        <v>54</v>
      </c>
      <c r="G21" s="51"/>
    </row>
    <row r="22" ht="30" customHeight="1" spans="1:7">
      <c r="A22" s="6">
        <v>20</v>
      </c>
      <c r="B22" s="42" t="s">
        <v>251</v>
      </c>
      <c r="C22" s="42">
        <v>6</v>
      </c>
      <c r="D22" s="42">
        <v>9</v>
      </c>
      <c r="E22" s="24">
        <f t="shared" si="1"/>
        <v>54</v>
      </c>
      <c r="F22" s="58">
        <v>54</v>
      </c>
      <c r="G22" s="51"/>
    </row>
    <row r="23" customFormat="1" ht="30" customHeight="1" spans="1:7">
      <c r="A23" s="6">
        <v>21</v>
      </c>
      <c r="B23" s="42" t="s">
        <v>252</v>
      </c>
      <c r="C23" s="42">
        <v>6</v>
      </c>
      <c r="D23" s="42">
        <v>9</v>
      </c>
      <c r="E23" s="24">
        <f t="shared" si="1"/>
        <v>54</v>
      </c>
      <c r="F23" s="58">
        <v>54</v>
      </c>
      <c r="G23" s="51"/>
    </row>
    <row r="24" customFormat="1" ht="30" customHeight="1" spans="1:7">
      <c r="A24" s="6">
        <v>22</v>
      </c>
      <c r="B24" s="42" t="s">
        <v>253</v>
      </c>
      <c r="C24" s="42">
        <v>6</v>
      </c>
      <c r="D24" s="42">
        <v>9</v>
      </c>
      <c r="E24" s="24">
        <f t="shared" si="1"/>
        <v>54</v>
      </c>
      <c r="F24" s="58">
        <v>54</v>
      </c>
      <c r="G24" s="52"/>
    </row>
    <row r="25" customFormat="1" ht="30" customHeight="1" spans="1:8">
      <c r="A25" s="6">
        <v>23</v>
      </c>
      <c r="B25" s="42" t="s">
        <v>197</v>
      </c>
      <c r="C25" s="42">
        <v>29</v>
      </c>
      <c r="D25" s="42">
        <f t="shared" ref="D25:D29" si="2">14.79+14.85</f>
        <v>29.64</v>
      </c>
      <c r="E25" s="24">
        <f t="shared" si="1"/>
        <v>859.56</v>
      </c>
      <c r="F25" s="58">
        <v>868</v>
      </c>
      <c r="G25" s="50" t="s">
        <v>155</v>
      </c>
      <c r="H25" t="s">
        <v>198</v>
      </c>
    </row>
    <row r="26" customFormat="1" ht="30" customHeight="1" spans="1:8">
      <c r="A26" s="6">
        <v>24</v>
      </c>
      <c r="B26" s="42" t="s">
        <v>199</v>
      </c>
      <c r="C26" s="42">
        <v>88.5</v>
      </c>
      <c r="D26" s="42"/>
      <c r="E26" s="24">
        <v>4385</v>
      </c>
      <c r="F26" s="58">
        <v>4385</v>
      </c>
      <c r="G26" s="51"/>
      <c r="H26" t="s">
        <v>198</v>
      </c>
    </row>
    <row r="27" customFormat="1" ht="30" customHeight="1" spans="1:8">
      <c r="A27" s="6">
        <v>25</v>
      </c>
      <c r="B27" s="42" t="s">
        <v>200</v>
      </c>
      <c r="C27" s="42">
        <v>79.3</v>
      </c>
      <c r="D27" s="42"/>
      <c r="E27" s="24">
        <v>4201</v>
      </c>
      <c r="F27" s="58">
        <v>4201</v>
      </c>
      <c r="G27" s="51"/>
      <c r="H27" t="s">
        <v>201</v>
      </c>
    </row>
    <row r="28" customFormat="1" ht="30" customHeight="1" spans="1:8">
      <c r="A28" s="6">
        <v>26</v>
      </c>
      <c r="B28" s="42" t="s">
        <v>202</v>
      </c>
      <c r="C28" s="42">
        <v>65.5</v>
      </c>
      <c r="D28" s="42">
        <f t="shared" si="2"/>
        <v>29.64</v>
      </c>
      <c r="E28" s="24">
        <f t="shared" ref="E28:E31" si="3">C28*D28</f>
        <v>1941.42</v>
      </c>
      <c r="F28" s="58">
        <v>1961</v>
      </c>
      <c r="G28" s="51"/>
      <c r="H28" t="s">
        <v>198</v>
      </c>
    </row>
    <row r="29" customFormat="1" ht="30" customHeight="1" spans="1:8">
      <c r="A29" s="6">
        <v>27</v>
      </c>
      <c r="B29" s="42" t="s">
        <v>203</v>
      </c>
      <c r="C29" s="42">
        <v>74.7</v>
      </c>
      <c r="D29" s="42">
        <f t="shared" si="2"/>
        <v>29.64</v>
      </c>
      <c r="E29" s="24">
        <f t="shared" si="3"/>
        <v>2214.108</v>
      </c>
      <c r="F29" s="58">
        <v>2234</v>
      </c>
      <c r="G29" s="51"/>
      <c r="H29" t="s">
        <v>201</v>
      </c>
    </row>
    <row r="30" customFormat="1" ht="30" customHeight="1" spans="1:8">
      <c r="A30" s="6">
        <v>28</v>
      </c>
      <c r="B30" s="42" t="s">
        <v>154</v>
      </c>
      <c r="C30" s="42">
        <v>170.6</v>
      </c>
      <c r="D30" s="42">
        <f>29.58+29.7</f>
        <v>59.28</v>
      </c>
      <c r="E30" s="24">
        <f t="shared" si="3"/>
        <v>10113.168</v>
      </c>
      <c r="F30" s="58">
        <v>10137</v>
      </c>
      <c r="G30" s="51"/>
      <c r="H30" t="s">
        <v>204</v>
      </c>
    </row>
    <row r="31" customFormat="1" ht="30" customHeight="1" spans="1:8">
      <c r="A31" s="6">
        <v>29</v>
      </c>
      <c r="B31" s="42" t="s">
        <v>205</v>
      </c>
      <c r="C31" s="42">
        <v>29</v>
      </c>
      <c r="D31" s="42">
        <f>14.79+14.85</f>
        <v>29.64</v>
      </c>
      <c r="E31" s="24">
        <f t="shared" si="3"/>
        <v>859.56</v>
      </c>
      <c r="F31" s="58">
        <v>868</v>
      </c>
      <c r="G31" s="51"/>
      <c r="H31" t="s">
        <v>201</v>
      </c>
    </row>
    <row r="32" customFormat="1" ht="30" customHeight="1" spans="1:7">
      <c r="A32" s="6">
        <v>30</v>
      </c>
      <c r="B32" s="42" t="s">
        <v>206</v>
      </c>
      <c r="C32" s="42">
        <v>73.9</v>
      </c>
      <c r="D32" s="42"/>
      <c r="E32" s="24">
        <v>1169</v>
      </c>
      <c r="F32" s="58">
        <v>1168</v>
      </c>
      <c r="G32" s="51"/>
    </row>
    <row r="33" customFormat="1" ht="30" customHeight="1" spans="1:7">
      <c r="A33" s="6">
        <v>31</v>
      </c>
      <c r="B33" s="42" t="s">
        <v>156</v>
      </c>
      <c r="C33" s="42">
        <v>36.1</v>
      </c>
      <c r="D33" s="42"/>
      <c r="E33" s="24">
        <v>634</v>
      </c>
      <c r="F33" s="58">
        <v>634</v>
      </c>
      <c r="G33" s="51"/>
    </row>
    <row r="34" customFormat="1" ht="30" customHeight="1" spans="1:7">
      <c r="A34" s="6">
        <v>32</v>
      </c>
      <c r="B34" s="42" t="s">
        <v>158</v>
      </c>
      <c r="C34" s="42">
        <v>125.9</v>
      </c>
      <c r="D34" s="42">
        <f t="shared" ref="D34:D40" si="4">9.08+9.2</f>
        <v>18.28</v>
      </c>
      <c r="E34" s="24">
        <f t="shared" ref="E34:E37" si="5">C34*D34</f>
        <v>2301.452</v>
      </c>
      <c r="F34" s="58">
        <v>2320</v>
      </c>
      <c r="G34" s="51"/>
    </row>
    <row r="35" customFormat="1" ht="30" customHeight="1" spans="1:7">
      <c r="A35" s="6">
        <v>33</v>
      </c>
      <c r="B35" s="42" t="s">
        <v>207</v>
      </c>
      <c r="C35" s="42">
        <v>25.4</v>
      </c>
      <c r="D35" s="42">
        <f t="shared" si="4"/>
        <v>18.28</v>
      </c>
      <c r="E35" s="24">
        <f t="shared" si="5"/>
        <v>464.312</v>
      </c>
      <c r="F35" s="58">
        <v>468</v>
      </c>
      <c r="G35" s="51"/>
    </row>
    <row r="36" customFormat="1" ht="30" customHeight="1" spans="1:7">
      <c r="A36" s="6">
        <v>34</v>
      </c>
      <c r="B36" s="42" t="s">
        <v>208</v>
      </c>
      <c r="C36" s="42">
        <v>50</v>
      </c>
      <c r="D36" s="42">
        <f t="shared" si="4"/>
        <v>18.28</v>
      </c>
      <c r="E36" s="24">
        <f t="shared" si="5"/>
        <v>914</v>
      </c>
      <c r="F36" s="58">
        <v>921</v>
      </c>
      <c r="G36" s="51"/>
    </row>
    <row r="37" customFormat="1" ht="30" customHeight="1" spans="1:7">
      <c r="A37" s="6">
        <v>35</v>
      </c>
      <c r="B37" s="42" t="s">
        <v>159</v>
      </c>
      <c r="C37" s="42">
        <v>208.4</v>
      </c>
      <c r="D37" s="42">
        <f t="shared" si="4"/>
        <v>18.28</v>
      </c>
      <c r="E37" s="24">
        <f t="shared" si="5"/>
        <v>3809.552</v>
      </c>
      <c r="F37" s="58">
        <v>3838</v>
      </c>
      <c r="G37" s="51"/>
    </row>
    <row r="38" customFormat="1" ht="30" customHeight="1" spans="1:7">
      <c r="A38" s="6">
        <v>36</v>
      </c>
      <c r="B38" s="42" t="s">
        <v>209</v>
      </c>
      <c r="C38" s="42">
        <v>60</v>
      </c>
      <c r="D38" s="42"/>
      <c r="E38" s="24">
        <v>1354</v>
      </c>
      <c r="F38" s="58">
        <v>1354</v>
      </c>
      <c r="G38" s="51"/>
    </row>
    <row r="39" customFormat="1" ht="30" customHeight="1" spans="1:7">
      <c r="A39" s="6">
        <v>37</v>
      </c>
      <c r="B39" s="42" t="s">
        <v>210</v>
      </c>
      <c r="C39" s="42">
        <v>227.6</v>
      </c>
      <c r="D39" s="42">
        <f t="shared" si="4"/>
        <v>18.28</v>
      </c>
      <c r="E39" s="24">
        <f>C39*D39</f>
        <v>4160.528</v>
      </c>
      <c r="F39" s="58">
        <v>4192</v>
      </c>
      <c r="G39" s="51"/>
    </row>
    <row r="40" customFormat="1" ht="30" customHeight="1" spans="1:7">
      <c r="A40" s="6">
        <v>38</v>
      </c>
      <c r="B40" s="42" t="s">
        <v>211</v>
      </c>
      <c r="C40" s="42">
        <v>213.8</v>
      </c>
      <c r="D40" s="42">
        <f t="shared" si="4"/>
        <v>18.28</v>
      </c>
      <c r="E40" s="24">
        <f>C40*D40</f>
        <v>3908.264</v>
      </c>
      <c r="F40" s="58">
        <v>3939</v>
      </c>
      <c r="G40" s="51"/>
    </row>
    <row r="41" customFormat="1" ht="30" customHeight="1" spans="1:7">
      <c r="A41" s="6">
        <v>39</v>
      </c>
      <c r="B41" s="42" t="s">
        <v>212</v>
      </c>
      <c r="C41" s="42"/>
      <c r="D41" s="42"/>
      <c r="E41" s="24">
        <v>3497</v>
      </c>
      <c r="F41" s="58">
        <v>3497</v>
      </c>
      <c r="G41" s="51"/>
    </row>
    <row r="42" customFormat="1" ht="30" customHeight="1" spans="1:7">
      <c r="A42" s="6">
        <v>40</v>
      </c>
      <c r="B42" s="42" t="s">
        <v>213</v>
      </c>
      <c r="C42" s="42"/>
      <c r="D42" s="42"/>
      <c r="E42" s="24">
        <v>2976</v>
      </c>
      <c r="F42" s="58">
        <v>2976</v>
      </c>
      <c r="G42" s="52"/>
    </row>
    <row r="43" customFormat="1" ht="30" customHeight="1" spans="1:8">
      <c r="A43" s="6">
        <v>41</v>
      </c>
      <c r="B43" s="42" t="s">
        <v>254</v>
      </c>
      <c r="C43" s="42">
        <v>240</v>
      </c>
      <c r="D43" s="42"/>
      <c r="E43" s="24">
        <v>4192.98</v>
      </c>
      <c r="F43" s="58">
        <v>4130</v>
      </c>
      <c r="G43" s="50" t="s">
        <v>155</v>
      </c>
      <c r="H43" t="s">
        <v>255</v>
      </c>
    </row>
    <row r="44" customFormat="1" ht="30" customHeight="1" spans="1:8">
      <c r="A44" s="6">
        <v>42</v>
      </c>
      <c r="B44" s="42" t="s">
        <v>256</v>
      </c>
      <c r="C44" s="42">
        <v>240</v>
      </c>
      <c r="D44" s="42"/>
      <c r="E44" s="24">
        <v>4500.3</v>
      </c>
      <c r="F44" s="58">
        <v>4436</v>
      </c>
      <c r="G44" s="51"/>
      <c r="H44" t="s">
        <v>257</v>
      </c>
    </row>
    <row r="45" customFormat="1" ht="30" customHeight="1" spans="1:8">
      <c r="A45" s="6">
        <v>43</v>
      </c>
      <c r="B45" s="42" t="s">
        <v>258</v>
      </c>
      <c r="C45" s="42">
        <v>390</v>
      </c>
      <c r="D45" s="42">
        <v>15</v>
      </c>
      <c r="E45" s="24">
        <f t="shared" ref="E45:E48" si="6">C45*D45</f>
        <v>5850</v>
      </c>
      <c r="F45" s="58">
        <v>5753</v>
      </c>
      <c r="G45" s="51"/>
      <c r="H45" t="s">
        <v>259</v>
      </c>
    </row>
    <row r="46" customFormat="1" ht="30" customHeight="1" spans="1:8">
      <c r="A46" s="6">
        <v>44</v>
      </c>
      <c r="B46" s="42" t="s">
        <v>258</v>
      </c>
      <c r="C46" s="42">
        <v>390</v>
      </c>
      <c r="D46" s="42">
        <v>15</v>
      </c>
      <c r="E46" s="24">
        <f t="shared" si="6"/>
        <v>5850</v>
      </c>
      <c r="F46" s="58">
        <v>5753</v>
      </c>
      <c r="G46" s="51"/>
      <c r="H46" t="s">
        <v>260</v>
      </c>
    </row>
    <row r="47" customFormat="1" ht="30" customHeight="1" spans="1:8">
      <c r="A47" s="6">
        <v>45</v>
      </c>
      <c r="B47" s="42" t="s">
        <v>261</v>
      </c>
      <c r="C47" s="42">
        <v>20</v>
      </c>
      <c r="D47" s="42">
        <v>9</v>
      </c>
      <c r="E47" s="24">
        <f t="shared" si="6"/>
        <v>180</v>
      </c>
      <c r="F47" s="58">
        <v>180</v>
      </c>
      <c r="G47" s="51"/>
      <c r="H47" t="s">
        <v>262</v>
      </c>
    </row>
    <row r="48" customFormat="1" ht="30" customHeight="1" spans="1:8">
      <c r="A48" s="6">
        <v>46</v>
      </c>
      <c r="B48" s="42" t="s">
        <v>263</v>
      </c>
      <c r="C48" s="42">
        <v>20</v>
      </c>
      <c r="D48" s="42">
        <v>9</v>
      </c>
      <c r="E48" s="24">
        <f t="shared" si="6"/>
        <v>180</v>
      </c>
      <c r="F48" s="58">
        <v>180</v>
      </c>
      <c r="G48" s="52"/>
      <c r="H48" t="s">
        <v>264</v>
      </c>
    </row>
    <row r="49" customFormat="1" ht="30" customHeight="1" spans="1:7">
      <c r="A49" s="6">
        <v>47</v>
      </c>
      <c r="B49" s="42" t="s">
        <v>221</v>
      </c>
      <c r="C49" s="42"/>
      <c r="D49" s="42"/>
      <c r="E49" s="24">
        <v>108</v>
      </c>
      <c r="F49" s="58">
        <v>108</v>
      </c>
      <c r="G49" s="50" t="s">
        <v>222</v>
      </c>
    </row>
    <row r="50" customFormat="1" ht="30" customHeight="1" spans="1:7">
      <c r="A50" s="6">
        <v>48</v>
      </c>
      <c r="B50" s="42" t="s">
        <v>223</v>
      </c>
      <c r="C50" s="42"/>
      <c r="D50" s="42"/>
      <c r="E50" s="24">
        <v>167</v>
      </c>
      <c r="F50" s="58">
        <v>167</v>
      </c>
      <c r="G50" s="52"/>
    </row>
    <row r="51" customFormat="1" ht="30" customHeight="1" spans="1:7">
      <c r="A51" s="6">
        <v>49</v>
      </c>
      <c r="B51" s="42" t="s">
        <v>214</v>
      </c>
      <c r="C51" s="42"/>
      <c r="D51" s="42"/>
      <c r="E51" s="24">
        <v>2868</v>
      </c>
      <c r="F51" s="58">
        <v>2868</v>
      </c>
      <c r="G51" s="50" t="s">
        <v>215</v>
      </c>
    </row>
    <row r="52" customFormat="1" ht="30" customHeight="1" spans="1:7">
      <c r="A52" s="6">
        <v>50</v>
      </c>
      <c r="B52" s="42" t="s">
        <v>216</v>
      </c>
      <c r="C52" s="42"/>
      <c r="D52" s="42"/>
      <c r="E52" s="24">
        <v>2180</v>
      </c>
      <c r="F52" s="58">
        <v>2180</v>
      </c>
      <c r="G52" s="52"/>
    </row>
    <row r="53" customFormat="1" ht="30" customHeight="1" spans="1:7">
      <c r="A53" s="6">
        <v>51</v>
      </c>
      <c r="B53" s="42" t="s">
        <v>225</v>
      </c>
      <c r="C53" s="42">
        <v>406</v>
      </c>
      <c r="D53" s="42">
        <v>6</v>
      </c>
      <c r="E53" s="24">
        <f>C53*D53</f>
        <v>2436</v>
      </c>
      <c r="F53" s="58">
        <v>2436</v>
      </c>
      <c r="G53" s="50" t="s">
        <v>226</v>
      </c>
    </row>
    <row r="54" customFormat="1" ht="30" customHeight="1" spans="1:7">
      <c r="A54" s="6">
        <v>52</v>
      </c>
      <c r="B54" s="42" t="s">
        <v>227</v>
      </c>
      <c r="C54" s="42">
        <v>404</v>
      </c>
      <c r="D54" s="42">
        <v>6</v>
      </c>
      <c r="E54" s="24">
        <f>C54*D54</f>
        <v>2424</v>
      </c>
      <c r="F54" s="58">
        <v>2424</v>
      </c>
      <c r="G54" s="52"/>
    </row>
    <row r="55" customFormat="1" ht="30" customHeight="1" spans="1:7">
      <c r="A55" s="6"/>
      <c r="B55" s="42"/>
      <c r="C55" s="42"/>
      <c r="D55" s="42"/>
      <c r="E55" s="24"/>
      <c r="F55" s="58"/>
      <c r="G55" s="52"/>
    </row>
    <row r="56" customFormat="1" ht="30" customHeight="1" spans="1:7">
      <c r="A56" s="6"/>
      <c r="B56" s="42"/>
      <c r="C56" s="42"/>
      <c r="D56" s="42"/>
      <c r="E56" s="24"/>
      <c r="F56" s="58"/>
      <c r="G56" s="12"/>
    </row>
    <row r="57" s="32" customFormat="1" ht="30" customHeight="1" spans="1:7">
      <c r="A57" s="6" t="s">
        <v>160</v>
      </c>
      <c r="B57" s="42"/>
      <c r="C57" s="6"/>
      <c r="D57" s="6"/>
      <c r="E57" s="14">
        <f>SUM(E3:E56)</f>
        <v>183716.544</v>
      </c>
      <c r="F57" s="58">
        <f>SUM(F3:F56)</f>
        <v>176123.176</v>
      </c>
      <c r="G57" s="12"/>
    </row>
    <row r="58" s="1" customFormat="1" ht="30" customHeight="1" spans="1:6">
      <c r="A58" s="13" t="s">
        <v>161</v>
      </c>
      <c r="B58" s="13"/>
      <c r="C58" s="13"/>
      <c r="D58" s="13"/>
      <c r="F58" s="61"/>
    </row>
  </sheetData>
  <mergeCells count="12">
    <mergeCell ref="A1:G1"/>
    <mergeCell ref="F16:F17"/>
    <mergeCell ref="F18:F19"/>
    <mergeCell ref="G3:G6"/>
    <mergeCell ref="G7:G11"/>
    <mergeCell ref="G12:G15"/>
    <mergeCell ref="G17:G24"/>
    <mergeCell ref="G25:G42"/>
    <mergeCell ref="G43:G48"/>
    <mergeCell ref="G49:G50"/>
    <mergeCell ref="G51:G52"/>
    <mergeCell ref="G53:G54"/>
  </mergeCells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opLeftCell="A18" workbookViewId="0">
      <selection activeCell="D40" sqref="D40"/>
    </sheetView>
  </sheetViews>
  <sheetFormatPr defaultColWidth="8.75" defaultRowHeight="13.5" outlineLevelCol="7"/>
  <cols>
    <col min="1" max="1" width="6.625" style="33" customWidth="1"/>
    <col min="2" max="2" width="25.625" style="33" customWidth="1"/>
    <col min="3" max="4" width="10.625" style="33" customWidth="1"/>
    <col min="5" max="5" width="12.25" style="34" customWidth="1"/>
    <col min="6" max="6" width="12.875" style="33" customWidth="1"/>
    <col min="7" max="7" width="8.5" style="33" customWidth="1"/>
    <col min="8" max="16384" width="8.75" style="33"/>
  </cols>
  <sheetData>
    <row r="1" ht="60" customHeight="1" spans="1:7">
      <c r="A1" s="2" t="s">
        <v>265</v>
      </c>
      <c r="B1" s="2"/>
      <c r="C1" s="2"/>
      <c r="D1" s="2"/>
      <c r="E1" s="35"/>
      <c r="F1" s="2"/>
      <c r="G1" s="2"/>
    </row>
    <row r="2" ht="30" customHeight="1" spans="1:7">
      <c r="A2" s="3" t="s">
        <v>147</v>
      </c>
      <c r="B2" s="3" t="s">
        <v>148</v>
      </c>
      <c r="C2" s="3" t="s">
        <v>149</v>
      </c>
      <c r="D2" s="3" t="s">
        <v>150</v>
      </c>
      <c r="E2" s="36" t="s">
        <v>218</v>
      </c>
      <c r="F2" s="4" t="s">
        <v>219</v>
      </c>
      <c r="G2" s="5" t="s">
        <v>153</v>
      </c>
    </row>
    <row r="3" ht="30" customHeight="1" spans="1:7">
      <c r="A3" s="6">
        <v>1</v>
      </c>
      <c r="B3" s="6" t="s">
        <v>220</v>
      </c>
      <c r="C3" s="6">
        <f>500-256</f>
        <v>244</v>
      </c>
      <c r="D3" s="6">
        <v>15.28</v>
      </c>
      <c r="E3" s="14">
        <f>D3*C3</f>
        <v>3728.32</v>
      </c>
      <c r="F3" s="11">
        <v>3688</v>
      </c>
      <c r="G3" s="50" t="s">
        <v>192</v>
      </c>
    </row>
    <row r="4" ht="30" customHeight="1" spans="1:7">
      <c r="A4" s="6">
        <v>2</v>
      </c>
      <c r="B4" s="6" t="s">
        <v>193</v>
      </c>
      <c r="C4" s="6">
        <v>820</v>
      </c>
      <c r="D4" s="6">
        <v>15.28</v>
      </c>
      <c r="E4" s="14">
        <f>D4*C4</f>
        <v>12529.6</v>
      </c>
      <c r="F4" s="11">
        <v>12697</v>
      </c>
      <c r="G4" s="51"/>
    </row>
    <row r="5" ht="30" customHeight="1" spans="1:7">
      <c r="A5" s="6">
        <v>3</v>
      </c>
      <c r="B5" s="6" t="s">
        <v>194</v>
      </c>
      <c r="C5" s="6">
        <f>505-256</f>
        <v>249</v>
      </c>
      <c r="D5" s="6">
        <v>15.28</v>
      </c>
      <c r="E5" s="14">
        <f>D5*C5</f>
        <v>3804.72</v>
      </c>
      <c r="F5" s="11">
        <v>3828</v>
      </c>
      <c r="G5" s="51"/>
    </row>
    <row r="6" ht="30" customHeight="1" spans="1:7">
      <c r="A6" s="6">
        <v>4</v>
      </c>
      <c r="B6" s="10" t="s">
        <v>195</v>
      </c>
      <c r="C6" s="6">
        <v>793</v>
      </c>
      <c r="D6" s="6">
        <v>15.28</v>
      </c>
      <c r="E6" s="14">
        <f>D6*C6</f>
        <v>12117.04</v>
      </c>
      <c r="F6" s="11">
        <v>12271</v>
      </c>
      <c r="G6" s="51"/>
    </row>
    <row r="7" ht="30" customHeight="1" spans="1:7">
      <c r="A7" s="6">
        <v>5</v>
      </c>
      <c r="B7" s="6" t="s">
        <v>196</v>
      </c>
      <c r="C7" s="6"/>
      <c r="D7" s="6"/>
      <c r="E7" s="14">
        <v>1711</v>
      </c>
      <c r="F7" s="11">
        <v>1711</v>
      </c>
      <c r="G7" s="52"/>
    </row>
    <row r="8" customFormat="1" ht="30" customHeight="1" spans="1:8">
      <c r="A8" s="6">
        <v>6</v>
      </c>
      <c r="B8" s="42" t="s">
        <v>197</v>
      </c>
      <c r="C8" s="42">
        <v>29</v>
      </c>
      <c r="D8" s="42">
        <f>14.75+0.28</f>
        <v>15.03</v>
      </c>
      <c r="E8" s="24">
        <f>C8*D8</f>
        <v>435.87</v>
      </c>
      <c r="F8" s="11">
        <v>444</v>
      </c>
      <c r="G8" s="50" t="s">
        <v>155</v>
      </c>
      <c r="H8" t="s">
        <v>198</v>
      </c>
    </row>
    <row r="9" customFormat="1" ht="30" customHeight="1" spans="1:8">
      <c r="A9" s="6">
        <v>7</v>
      </c>
      <c r="B9" s="42" t="s">
        <v>199</v>
      </c>
      <c r="C9" s="42">
        <v>88.5</v>
      </c>
      <c r="D9" s="42"/>
      <c r="E9" s="24">
        <v>2218</v>
      </c>
      <c r="F9" s="11">
        <v>2218</v>
      </c>
      <c r="G9" s="51"/>
      <c r="H9" t="s">
        <v>198</v>
      </c>
    </row>
    <row r="10" customFormat="1" ht="30" customHeight="1" spans="1:8">
      <c r="A10" s="6">
        <v>8</v>
      </c>
      <c r="B10" s="42" t="s">
        <v>200</v>
      </c>
      <c r="C10" s="42">
        <v>79.3</v>
      </c>
      <c r="D10" s="42"/>
      <c r="E10" s="24">
        <v>2123</v>
      </c>
      <c r="F10" s="11">
        <v>2123</v>
      </c>
      <c r="G10" s="51"/>
      <c r="H10" t="s">
        <v>201</v>
      </c>
    </row>
    <row r="11" customFormat="1" ht="30" customHeight="1" spans="1:8">
      <c r="A11" s="6">
        <v>9</v>
      </c>
      <c r="B11" s="42" t="s">
        <v>202</v>
      </c>
      <c r="C11" s="42">
        <v>65.5</v>
      </c>
      <c r="D11" s="42">
        <f>14.75+0.28</f>
        <v>15.03</v>
      </c>
      <c r="E11" s="24">
        <f t="shared" ref="E11:E14" si="0">C11*D11</f>
        <v>984.465</v>
      </c>
      <c r="F11" s="11">
        <v>1003</v>
      </c>
      <c r="G11" s="51"/>
      <c r="H11" t="s">
        <v>198</v>
      </c>
    </row>
    <row r="12" customFormat="1" ht="30" customHeight="1" spans="1:8">
      <c r="A12" s="6">
        <v>10</v>
      </c>
      <c r="B12" s="42" t="s">
        <v>203</v>
      </c>
      <c r="C12" s="42">
        <v>74.7</v>
      </c>
      <c r="D12" s="42">
        <f>14.75+0.28</f>
        <v>15.03</v>
      </c>
      <c r="E12" s="24">
        <f t="shared" si="0"/>
        <v>1122.741</v>
      </c>
      <c r="F12" s="11">
        <v>1143</v>
      </c>
      <c r="G12" s="51"/>
      <c r="H12" t="s">
        <v>201</v>
      </c>
    </row>
    <row r="13" customFormat="1" ht="30" customHeight="1" spans="1:8">
      <c r="A13" s="6">
        <v>11</v>
      </c>
      <c r="B13" s="42" t="s">
        <v>154</v>
      </c>
      <c r="C13" s="42">
        <v>170.6</v>
      </c>
      <c r="D13" s="42">
        <f>29.5+0.56</f>
        <v>30.06</v>
      </c>
      <c r="E13" s="24">
        <f t="shared" si="0"/>
        <v>5128.236</v>
      </c>
      <c r="F13" s="11">
        <v>5128</v>
      </c>
      <c r="G13" s="51"/>
      <c r="H13" t="s">
        <v>204</v>
      </c>
    </row>
    <row r="14" customFormat="1" ht="30" customHeight="1" spans="1:8">
      <c r="A14" s="6">
        <v>12</v>
      </c>
      <c r="B14" s="42" t="s">
        <v>205</v>
      </c>
      <c r="C14" s="42">
        <v>29</v>
      </c>
      <c r="D14" s="42">
        <f>14.75+0.28</f>
        <v>15.03</v>
      </c>
      <c r="E14" s="24">
        <f t="shared" si="0"/>
        <v>435.87</v>
      </c>
      <c r="F14" s="11">
        <v>444</v>
      </c>
      <c r="G14" s="51"/>
      <c r="H14" t="s">
        <v>201</v>
      </c>
    </row>
    <row r="15" customFormat="1" ht="30" customHeight="1" spans="1:7">
      <c r="A15" s="6">
        <v>13</v>
      </c>
      <c r="B15" s="42" t="s">
        <v>206</v>
      </c>
      <c r="C15" s="42">
        <v>73.9</v>
      </c>
      <c r="D15" s="42"/>
      <c r="E15" s="24">
        <v>606</v>
      </c>
      <c r="F15" s="11">
        <v>606</v>
      </c>
      <c r="G15" s="51"/>
    </row>
    <row r="16" customFormat="1" ht="30" customHeight="1" spans="1:7">
      <c r="A16" s="6">
        <v>14</v>
      </c>
      <c r="B16" s="42" t="s">
        <v>156</v>
      </c>
      <c r="C16" s="42">
        <v>36.1</v>
      </c>
      <c r="D16" s="42"/>
      <c r="E16" s="24">
        <v>328</v>
      </c>
      <c r="F16" s="11">
        <v>328</v>
      </c>
      <c r="G16" s="51"/>
    </row>
    <row r="17" customFormat="1" ht="30" customHeight="1" spans="1:7">
      <c r="A17" s="6">
        <v>15</v>
      </c>
      <c r="B17" s="42" t="s">
        <v>158</v>
      </c>
      <c r="C17" s="42">
        <v>125.9</v>
      </c>
      <c r="D17" s="42">
        <f>9+0.56</f>
        <v>9.56</v>
      </c>
      <c r="E17" s="24">
        <f t="shared" ref="E17:E20" si="1">C17*D17</f>
        <v>1203.604</v>
      </c>
      <c r="F17" s="11">
        <v>1204</v>
      </c>
      <c r="G17" s="51"/>
    </row>
    <row r="18" customFormat="1" ht="30" customHeight="1" spans="1:7">
      <c r="A18" s="6">
        <v>16</v>
      </c>
      <c r="B18" s="42" t="s">
        <v>207</v>
      </c>
      <c r="C18" s="42">
        <v>25.4</v>
      </c>
      <c r="D18" s="42">
        <f>9+0.56</f>
        <v>9.56</v>
      </c>
      <c r="E18" s="24">
        <f t="shared" si="1"/>
        <v>242.824</v>
      </c>
      <c r="F18" s="11">
        <v>243</v>
      </c>
      <c r="G18" s="51"/>
    </row>
    <row r="19" customFormat="1" ht="30" customHeight="1" spans="1:7">
      <c r="A19" s="6">
        <v>17</v>
      </c>
      <c r="B19" s="42" t="s">
        <v>208</v>
      </c>
      <c r="C19" s="42">
        <v>50</v>
      </c>
      <c r="D19" s="42">
        <f>9+0.56</f>
        <v>9.56</v>
      </c>
      <c r="E19" s="24">
        <f t="shared" si="1"/>
        <v>478</v>
      </c>
      <c r="F19" s="11">
        <v>478</v>
      </c>
      <c r="G19" s="51"/>
    </row>
    <row r="20" customFormat="1" ht="30" customHeight="1" spans="1:7">
      <c r="A20" s="6">
        <v>18</v>
      </c>
      <c r="B20" s="42" t="s">
        <v>159</v>
      </c>
      <c r="C20" s="42">
        <v>208.4</v>
      </c>
      <c r="D20" s="42">
        <f>9+0.56</f>
        <v>9.56</v>
      </c>
      <c r="E20" s="24">
        <f t="shared" si="1"/>
        <v>1992.304</v>
      </c>
      <c r="F20" s="11">
        <v>1992</v>
      </c>
      <c r="G20" s="51"/>
    </row>
    <row r="21" customFormat="1" ht="30" customHeight="1" spans="1:7">
      <c r="A21" s="6">
        <v>19</v>
      </c>
      <c r="B21" s="42" t="s">
        <v>209</v>
      </c>
      <c r="C21" s="42">
        <v>60</v>
      </c>
      <c r="D21" s="42"/>
      <c r="E21" s="24">
        <v>664</v>
      </c>
      <c r="F21" s="11">
        <v>694</v>
      </c>
      <c r="G21" s="51"/>
    </row>
    <row r="22" customFormat="1" ht="30" customHeight="1" spans="1:7">
      <c r="A22" s="6">
        <v>20</v>
      </c>
      <c r="B22" s="42" t="s">
        <v>210</v>
      </c>
      <c r="C22" s="42">
        <v>227.6</v>
      </c>
      <c r="D22" s="42">
        <f>9+0.56</f>
        <v>9.56</v>
      </c>
      <c r="E22" s="24">
        <f>C22*D22</f>
        <v>2175.856</v>
      </c>
      <c r="F22" s="11">
        <v>2175</v>
      </c>
      <c r="G22" s="51"/>
    </row>
    <row r="23" customFormat="1" ht="30" customHeight="1" spans="1:7">
      <c r="A23" s="6">
        <v>21</v>
      </c>
      <c r="B23" s="42" t="s">
        <v>211</v>
      </c>
      <c r="C23" s="42">
        <v>213.8</v>
      </c>
      <c r="D23" s="42">
        <f>9+0.56</f>
        <v>9.56</v>
      </c>
      <c r="E23" s="24">
        <f>C23*D23</f>
        <v>2043.928</v>
      </c>
      <c r="F23" s="11">
        <v>2044</v>
      </c>
      <c r="G23" s="51"/>
    </row>
    <row r="24" customFormat="1" ht="30" customHeight="1" spans="1:7">
      <c r="A24" s="6">
        <v>22</v>
      </c>
      <c r="B24" s="42" t="s">
        <v>212</v>
      </c>
      <c r="C24" s="42"/>
      <c r="D24" s="42"/>
      <c r="E24" s="24">
        <v>1836</v>
      </c>
      <c r="F24" s="11">
        <v>1836</v>
      </c>
      <c r="G24" s="51"/>
    </row>
    <row r="25" customFormat="1" ht="30" customHeight="1" spans="1:7">
      <c r="A25" s="6">
        <v>23</v>
      </c>
      <c r="B25" s="42" t="s">
        <v>213</v>
      </c>
      <c r="C25" s="42"/>
      <c r="D25" s="42"/>
      <c r="E25" s="24">
        <v>1562</v>
      </c>
      <c r="F25" s="11">
        <v>1562</v>
      </c>
      <c r="G25" s="52"/>
    </row>
    <row r="26" customFormat="1" ht="30" customHeight="1" spans="1:7">
      <c r="A26" s="6">
        <v>24</v>
      </c>
      <c r="B26" s="42" t="s">
        <v>221</v>
      </c>
      <c r="C26" s="42"/>
      <c r="D26" s="42"/>
      <c r="E26" s="11">
        <v>154.5</v>
      </c>
      <c r="F26" s="11">
        <v>154.5</v>
      </c>
      <c r="G26" s="50" t="s">
        <v>222</v>
      </c>
    </row>
    <row r="27" customFormat="1" ht="30" customHeight="1" spans="1:7">
      <c r="A27" s="6">
        <v>25</v>
      </c>
      <c r="B27" s="42" t="s">
        <v>223</v>
      </c>
      <c r="C27" s="42"/>
      <c r="D27" s="42"/>
      <c r="E27" s="11">
        <v>204.5</v>
      </c>
      <c r="F27" s="11">
        <v>204.5</v>
      </c>
      <c r="G27" s="52"/>
    </row>
    <row r="28" customFormat="1" ht="30" customHeight="1" spans="1:7">
      <c r="A28" s="6">
        <v>26</v>
      </c>
      <c r="B28" s="42" t="s">
        <v>214</v>
      </c>
      <c r="C28" s="42"/>
      <c r="D28" s="42"/>
      <c r="E28" s="11">
        <v>3012</v>
      </c>
      <c r="F28" s="11">
        <v>3012</v>
      </c>
      <c r="G28" s="50" t="s">
        <v>215</v>
      </c>
    </row>
    <row r="29" customFormat="1" ht="30" customHeight="1" spans="1:7">
      <c r="A29" s="6">
        <v>27</v>
      </c>
      <c r="B29" s="42" t="s">
        <v>216</v>
      </c>
      <c r="C29" s="42"/>
      <c r="D29" s="42"/>
      <c r="E29" s="11">
        <v>2289</v>
      </c>
      <c r="F29" s="11">
        <v>2289</v>
      </c>
      <c r="G29" s="52"/>
    </row>
    <row r="30" customFormat="1" ht="30" customHeight="1" spans="1:7">
      <c r="A30" s="6">
        <v>28</v>
      </c>
      <c r="B30" s="42" t="s">
        <v>225</v>
      </c>
      <c r="C30" s="42">
        <v>406</v>
      </c>
      <c r="D30" s="42">
        <v>6.5</v>
      </c>
      <c r="E30" s="24">
        <f>C30*D30</f>
        <v>2639</v>
      </c>
      <c r="F30" s="11">
        <v>2639</v>
      </c>
      <c r="G30" s="50" t="s">
        <v>226</v>
      </c>
    </row>
    <row r="31" customFormat="1" ht="30" customHeight="1" spans="1:7">
      <c r="A31" s="6">
        <v>29</v>
      </c>
      <c r="B31" s="42" t="s">
        <v>227</v>
      </c>
      <c r="C31" s="42">
        <v>404</v>
      </c>
      <c r="D31" s="42">
        <v>6.5</v>
      </c>
      <c r="E31" s="24">
        <f>C31*D31</f>
        <v>2626</v>
      </c>
      <c r="F31" s="11">
        <v>2626</v>
      </c>
      <c r="G31" s="52"/>
    </row>
    <row r="32" customFormat="1" ht="30" customHeight="1" spans="1:7">
      <c r="A32" s="6"/>
      <c r="B32" s="42"/>
      <c r="C32" s="42"/>
      <c r="D32" s="42"/>
      <c r="E32" s="24"/>
      <c r="F32" s="11"/>
      <c r="G32" s="52"/>
    </row>
    <row r="33" customFormat="1" ht="30" customHeight="1" spans="1:7">
      <c r="A33" s="6"/>
      <c r="B33" s="42"/>
      <c r="C33" s="42"/>
      <c r="D33" s="42"/>
      <c r="E33" s="24"/>
      <c r="F33" s="11"/>
      <c r="G33" s="12"/>
    </row>
    <row r="34" s="32" customFormat="1" ht="30" customHeight="1" spans="1:7">
      <c r="A34" s="6" t="s">
        <v>160</v>
      </c>
      <c r="B34" s="42"/>
      <c r="C34" s="6"/>
      <c r="D34" s="6"/>
      <c r="E34" s="14">
        <f>SUM(E3:E33)</f>
        <v>70396.378</v>
      </c>
      <c r="F34" s="6">
        <f>SUM(F3:F33)</f>
        <v>70785</v>
      </c>
      <c r="G34" s="12"/>
    </row>
    <row r="35" s="1" customFormat="1" ht="30" customHeight="1" spans="1:4">
      <c r="A35" s="13" t="s">
        <v>161</v>
      </c>
      <c r="B35" s="13"/>
      <c r="C35" s="13"/>
      <c r="D35" s="13"/>
    </row>
  </sheetData>
  <mergeCells count="6">
    <mergeCell ref="A1:G1"/>
    <mergeCell ref="G3:G7"/>
    <mergeCell ref="G8:G25"/>
    <mergeCell ref="G26:G27"/>
    <mergeCell ref="G28:G29"/>
    <mergeCell ref="G30:G31"/>
  </mergeCells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F20" sqref="F20:F25"/>
    </sheetView>
  </sheetViews>
  <sheetFormatPr defaultColWidth="8.75" defaultRowHeight="13.5" outlineLevelCol="7"/>
  <cols>
    <col min="1" max="1" width="6.625" style="33" customWidth="1"/>
    <col min="2" max="2" width="25.625" style="33" customWidth="1"/>
    <col min="3" max="4" width="10.625" style="33" customWidth="1"/>
    <col min="5" max="5" width="12.25" style="34" customWidth="1"/>
    <col min="6" max="6" width="12.875" style="33" customWidth="1"/>
    <col min="7" max="7" width="8.5" style="33" customWidth="1"/>
    <col min="8" max="16384" width="8.75" style="33"/>
  </cols>
  <sheetData>
    <row r="1" ht="60" customHeight="1" spans="1:7">
      <c r="A1" s="2" t="s">
        <v>266</v>
      </c>
      <c r="B1" s="2"/>
      <c r="C1" s="2"/>
      <c r="D1" s="2"/>
      <c r="E1" s="35"/>
      <c r="F1" s="2"/>
      <c r="G1" s="2"/>
    </row>
    <row r="2" ht="30" customHeight="1" spans="1:7">
      <c r="A2" s="3" t="s">
        <v>147</v>
      </c>
      <c r="B2" s="3" t="s">
        <v>148</v>
      </c>
      <c r="C2" s="3" t="s">
        <v>149</v>
      </c>
      <c r="D2" s="3" t="s">
        <v>150</v>
      </c>
      <c r="E2" s="36" t="s">
        <v>218</v>
      </c>
      <c r="F2" s="4" t="s">
        <v>219</v>
      </c>
      <c r="G2" s="5" t="s">
        <v>153</v>
      </c>
    </row>
    <row r="3" ht="39" customHeight="1" spans="1:7">
      <c r="A3" s="6">
        <v>1</v>
      </c>
      <c r="B3" s="43" t="s">
        <v>231</v>
      </c>
      <c r="C3" s="7">
        <v>6</v>
      </c>
      <c r="D3" s="7">
        <f>15+0.18</f>
        <v>15.18</v>
      </c>
      <c r="E3" s="24">
        <f>D3*C3</f>
        <v>91.08</v>
      </c>
      <c r="F3" s="14">
        <v>91</v>
      </c>
      <c r="G3" s="47" t="s">
        <v>232</v>
      </c>
    </row>
    <row r="4" ht="30" customHeight="1" spans="1:7">
      <c r="A4" s="6">
        <v>2</v>
      </c>
      <c r="B4" s="43" t="s">
        <v>233</v>
      </c>
      <c r="C4" s="6">
        <v>8</v>
      </c>
      <c r="D4" s="6">
        <f>15+0.18</f>
        <v>15.18</v>
      </c>
      <c r="E4" s="24">
        <f>D4*C4</f>
        <v>121.44</v>
      </c>
      <c r="F4" s="11">
        <v>122</v>
      </c>
      <c r="G4" s="48"/>
    </row>
    <row r="5" ht="30" customHeight="1" spans="1:7">
      <c r="A5" s="6">
        <v>3</v>
      </c>
      <c r="B5" s="6" t="s">
        <v>234</v>
      </c>
      <c r="C5" s="6">
        <v>8</v>
      </c>
      <c r="D5" s="6">
        <f>15+0.18</f>
        <v>15.18</v>
      </c>
      <c r="E5" s="24">
        <f>D5*C5</f>
        <v>121.44</v>
      </c>
      <c r="F5" s="11">
        <v>122</v>
      </c>
      <c r="G5" s="48"/>
    </row>
    <row r="6" ht="30" customHeight="1" spans="1:7">
      <c r="A6" s="6">
        <v>4</v>
      </c>
      <c r="B6" s="6" t="s">
        <v>235</v>
      </c>
      <c r="C6" s="6">
        <v>6</v>
      </c>
      <c r="D6" s="6">
        <f>15+0.18</f>
        <v>15.18</v>
      </c>
      <c r="E6" s="24">
        <f>D6*C6</f>
        <v>91.08</v>
      </c>
      <c r="F6" s="11">
        <v>91</v>
      </c>
      <c r="G6" s="49"/>
    </row>
    <row r="7" ht="30" customHeight="1" spans="1:8">
      <c r="A7" s="6">
        <v>5</v>
      </c>
      <c r="B7" s="10" t="s">
        <v>236</v>
      </c>
      <c r="C7" s="6">
        <v>1180</v>
      </c>
      <c r="D7" s="6">
        <v>11.5</v>
      </c>
      <c r="E7" s="24">
        <f t="shared" ref="E7:E20" si="0">C7*D7</f>
        <v>13570</v>
      </c>
      <c r="F7" s="11">
        <v>13570</v>
      </c>
      <c r="G7" s="50" t="s">
        <v>237</v>
      </c>
      <c r="H7" s="33" t="s">
        <v>238</v>
      </c>
    </row>
    <row r="8" ht="30" customHeight="1" spans="1:8">
      <c r="A8" s="6">
        <v>6</v>
      </c>
      <c r="B8" s="6" t="s">
        <v>239</v>
      </c>
      <c r="C8" s="6">
        <v>1211</v>
      </c>
      <c r="D8" s="6">
        <v>11.5</v>
      </c>
      <c r="E8" s="24">
        <f t="shared" si="0"/>
        <v>13926.5</v>
      </c>
      <c r="F8" s="11">
        <v>13927</v>
      </c>
      <c r="G8" s="51"/>
      <c r="H8" s="33" t="s">
        <v>240</v>
      </c>
    </row>
    <row r="9" ht="30" customHeight="1" spans="1:8">
      <c r="A9" s="6">
        <v>7</v>
      </c>
      <c r="B9" s="10" t="s">
        <v>241</v>
      </c>
      <c r="C9" s="10">
        <v>240</v>
      </c>
      <c r="D9" s="10">
        <v>15</v>
      </c>
      <c r="E9" s="24">
        <f t="shared" si="0"/>
        <v>3600</v>
      </c>
      <c r="F9" s="11">
        <v>3600</v>
      </c>
      <c r="G9" s="51"/>
      <c r="H9" s="33" t="s">
        <v>242</v>
      </c>
    </row>
    <row r="10" ht="30" customHeight="1" spans="1:8">
      <c r="A10" s="6">
        <v>8</v>
      </c>
      <c r="B10" s="42" t="s">
        <v>243</v>
      </c>
      <c r="C10" s="42">
        <v>240</v>
      </c>
      <c r="D10" s="42">
        <v>15</v>
      </c>
      <c r="E10" s="24">
        <f t="shared" si="0"/>
        <v>3600</v>
      </c>
      <c r="F10" s="11">
        <v>3600</v>
      </c>
      <c r="G10" s="52"/>
      <c r="H10" s="33" t="s">
        <v>244</v>
      </c>
    </row>
    <row r="11" ht="30" customHeight="1" spans="1:7">
      <c r="A11" s="6">
        <v>9</v>
      </c>
      <c r="B11" s="42" t="s">
        <v>245</v>
      </c>
      <c r="C11" s="42">
        <v>8</v>
      </c>
      <c r="D11" s="42">
        <v>15.18</v>
      </c>
      <c r="E11" s="24">
        <f t="shared" si="0"/>
        <v>121.44</v>
      </c>
      <c r="F11" s="53">
        <v>238</v>
      </c>
      <c r="G11" s="51"/>
    </row>
    <row r="12" ht="30" customHeight="1" spans="1:7">
      <c r="A12" s="6">
        <v>10</v>
      </c>
      <c r="B12" s="42" t="s">
        <v>246</v>
      </c>
      <c r="C12" s="42">
        <v>8</v>
      </c>
      <c r="D12" s="42">
        <v>17.25</v>
      </c>
      <c r="E12" s="24">
        <f t="shared" si="0"/>
        <v>138</v>
      </c>
      <c r="F12" s="54"/>
      <c r="G12" s="50" t="s">
        <v>247</v>
      </c>
    </row>
    <row r="13" ht="30" customHeight="1" spans="1:7">
      <c r="A13" s="6">
        <v>11</v>
      </c>
      <c r="B13" s="42" t="s">
        <v>248</v>
      </c>
      <c r="C13" s="42">
        <v>8</v>
      </c>
      <c r="D13" s="42">
        <v>20.03</v>
      </c>
      <c r="E13" s="24">
        <f t="shared" si="0"/>
        <v>160.24</v>
      </c>
      <c r="F13" s="53">
        <v>315</v>
      </c>
      <c r="G13" s="51"/>
    </row>
    <row r="14" ht="30" customHeight="1" spans="1:7">
      <c r="A14" s="6">
        <v>12</v>
      </c>
      <c r="B14" s="42" t="s">
        <v>248</v>
      </c>
      <c r="C14" s="42">
        <v>8</v>
      </c>
      <c r="D14" s="42">
        <v>19.865</v>
      </c>
      <c r="E14" s="24">
        <f t="shared" si="0"/>
        <v>158.92</v>
      </c>
      <c r="F14" s="54"/>
      <c r="G14" s="51"/>
    </row>
    <row r="15" ht="30" customHeight="1" spans="1:7">
      <c r="A15" s="6">
        <v>13</v>
      </c>
      <c r="B15" s="42" t="s">
        <v>249</v>
      </c>
      <c r="C15" s="42">
        <v>8</v>
      </c>
      <c r="D15" s="42">
        <v>32.2</v>
      </c>
      <c r="E15" s="24">
        <f t="shared" si="0"/>
        <v>257.6</v>
      </c>
      <c r="F15" s="11">
        <v>238</v>
      </c>
      <c r="G15" s="51"/>
    </row>
    <row r="16" ht="30" customHeight="1" spans="1:7">
      <c r="A16" s="6">
        <v>14</v>
      </c>
      <c r="B16" s="42" t="s">
        <v>250</v>
      </c>
      <c r="C16" s="42">
        <v>6</v>
      </c>
      <c r="D16" s="42">
        <v>9.1</v>
      </c>
      <c r="E16" s="24">
        <f t="shared" si="0"/>
        <v>54.6</v>
      </c>
      <c r="F16" s="11">
        <v>55</v>
      </c>
      <c r="G16" s="51"/>
    </row>
    <row r="17" ht="30" customHeight="1" spans="1:7">
      <c r="A17" s="6">
        <v>15</v>
      </c>
      <c r="B17" s="42" t="s">
        <v>251</v>
      </c>
      <c r="C17" s="42">
        <v>6</v>
      </c>
      <c r="D17" s="42">
        <v>9.1</v>
      </c>
      <c r="E17" s="24">
        <f t="shared" si="0"/>
        <v>54.6</v>
      </c>
      <c r="F17" s="11">
        <v>55</v>
      </c>
      <c r="G17" s="51"/>
    </row>
    <row r="18" customFormat="1" ht="30" customHeight="1" spans="1:7">
      <c r="A18" s="6">
        <v>16</v>
      </c>
      <c r="B18" s="42" t="s">
        <v>252</v>
      </c>
      <c r="C18" s="42">
        <v>6</v>
      </c>
      <c r="D18" s="42">
        <v>9.1</v>
      </c>
      <c r="E18" s="24">
        <f t="shared" si="0"/>
        <v>54.6</v>
      </c>
      <c r="F18" s="11">
        <v>55</v>
      </c>
      <c r="G18" s="51"/>
    </row>
    <row r="19" customFormat="1" ht="30" customHeight="1" spans="1:7">
      <c r="A19" s="6">
        <v>17</v>
      </c>
      <c r="B19" s="42" t="s">
        <v>253</v>
      </c>
      <c r="C19" s="42">
        <v>6</v>
      </c>
      <c r="D19" s="42">
        <v>9.1</v>
      </c>
      <c r="E19" s="24">
        <f t="shared" si="0"/>
        <v>54.6</v>
      </c>
      <c r="F19" s="11">
        <v>55</v>
      </c>
      <c r="G19" s="52"/>
    </row>
    <row r="20" customFormat="1" ht="30" customHeight="1" spans="1:8">
      <c r="A20" s="6">
        <v>18</v>
      </c>
      <c r="B20" s="42" t="s">
        <v>254</v>
      </c>
      <c r="C20" s="42">
        <v>240</v>
      </c>
      <c r="D20" s="42"/>
      <c r="E20" s="24">
        <v>4192.98</v>
      </c>
      <c r="F20" s="11">
        <v>4130</v>
      </c>
      <c r="G20" s="50" t="s">
        <v>155</v>
      </c>
      <c r="H20" t="s">
        <v>255</v>
      </c>
    </row>
    <row r="21" customFormat="1" ht="30" customHeight="1" spans="1:8">
      <c r="A21" s="6">
        <v>19</v>
      </c>
      <c r="B21" s="42" t="s">
        <v>256</v>
      </c>
      <c r="C21" s="42">
        <v>240</v>
      </c>
      <c r="D21" s="42"/>
      <c r="E21" s="24">
        <v>4500.3</v>
      </c>
      <c r="F21" s="11">
        <v>4436</v>
      </c>
      <c r="G21" s="51"/>
      <c r="H21" t="s">
        <v>257</v>
      </c>
    </row>
    <row r="22" customFormat="1" ht="30" customHeight="1" spans="1:8">
      <c r="A22" s="6">
        <v>20</v>
      </c>
      <c r="B22" s="42" t="s">
        <v>258</v>
      </c>
      <c r="C22" s="42">
        <v>390</v>
      </c>
      <c r="D22" s="42">
        <v>15</v>
      </c>
      <c r="E22" s="24">
        <f t="shared" ref="E22:E25" si="1">C22*D22</f>
        <v>5850</v>
      </c>
      <c r="F22" s="11">
        <v>5753</v>
      </c>
      <c r="G22" s="51"/>
      <c r="H22" t="s">
        <v>259</v>
      </c>
    </row>
    <row r="23" customFormat="1" ht="30" customHeight="1" spans="1:8">
      <c r="A23" s="6">
        <v>21</v>
      </c>
      <c r="B23" s="42" t="s">
        <v>258</v>
      </c>
      <c r="C23" s="42">
        <v>390</v>
      </c>
      <c r="D23" s="42">
        <v>15</v>
      </c>
      <c r="E23" s="24">
        <f t="shared" si="1"/>
        <v>5850</v>
      </c>
      <c r="F23" s="11">
        <v>5753</v>
      </c>
      <c r="G23" s="51"/>
      <c r="H23" t="s">
        <v>260</v>
      </c>
    </row>
    <row r="24" customFormat="1" ht="30" customHeight="1" spans="1:8">
      <c r="A24" s="6">
        <v>22</v>
      </c>
      <c r="B24" s="42" t="s">
        <v>261</v>
      </c>
      <c r="C24" s="42">
        <v>20</v>
      </c>
      <c r="D24" s="42">
        <v>9</v>
      </c>
      <c r="E24" s="24">
        <f t="shared" si="1"/>
        <v>180</v>
      </c>
      <c r="F24" s="11">
        <v>180</v>
      </c>
      <c r="G24" s="51"/>
      <c r="H24" t="s">
        <v>262</v>
      </c>
    </row>
    <row r="25" customFormat="1" ht="30" customHeight="1" spans="1:8">
      <c r="A25" s="6">
        <v>23</v>
      </c>
      <c r="B25" s="42" t="s">
        <v>263</v>
      </c>
      <c r="C25" s="42">
        <v>20</v>
      </c>
      <c r="D25" s="42">
        <v>9</v>
      </c>
      <c r="E25" s="24">
        <f t="shared" si="1"/>
        <v>180</v>
      </c>
      <c r="F25" s="11">
        <v>180</v>
      </c>
      <c r="G25" s="52"/>
      <c r="H25" t="s">
        <v>264</v>
      </c>
    </row>
    <row r="26" customFormat="1" ht="30" customHeight="1" spans="1:7">
      <c r="A26" s="6"/>
      <c r="B26" s="42"/>
      <c r="C26" s="42"/>
      <c r="D26" s="42"/>
      <c r="E26" s="24"/>
      <c r="F26" s="11"/>
      <c r="G26" s="52"/>
    </row>
    <row r="27" customFormat="1" ht="30" customHeight="1" spans="1:7">
      <c r="A27" s="6"/>
      <c r="B27" s="42"/>
      <c r="C27" s="42"/>
      <c r="D27" s="42"/>
      <c r="E27" s="24"/>
      <c r="F27" s="11"/>
      <c r="G27" s="12"/>
    </row>
    <row r="28" s="32" customFormat="1" ht="30" customHeight="1" spans="1:7">
      <c r="A28" s="6" t="s">
        <v>160</v>
      </c>
      <c r="B28" s="42"/>
      <c r="C28" s="6"/>
      <c r="D28" s="6"/>
      <c r="E28" s="14">
        <f>SUM(E3:E27)</f>
        <v>56929.42</v>
      </c>
      <c r="F28" s="6">
        <f>SUM(F3:F27)</f>
        <v>56566</v>
      </c>
      <c r="G28" s="12"/>
    </row>
    <row r="29" s="1" customFormat="1" ht="30" customHeight="1" spans="1:4">
      <c r="A29" s="13" t="s">
        <v>161</v>
      </c>
      <c r="B29" s="13"/>
      <c r="C29" s="13"/>
      <c r="D29" s="13"/>
    </row>
  </sheetData>
  <mergeCells count="7">
    <mergeCell ref="A1:G1"/>
    <mergeCell ref="F11:F12"/>
    <mergeCell ref="F13:F14"/>
    <mergeCell ref="G3:G6"/>
    <mergeCell ref="G7:G10"/>
    <mergeCell ref="G12:G19"/>
    <mergeCell ref="G20:G25"/>
  </mergeCells>
  <pageMargins left="0.699305555555556" right="0.699305555555556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A3" sqref="A3:A12"/>
    </sheetView>
  </sheetViews>
  <sheetFormatPr defaultColWidth="8.75" defaultRowHeight="13.5" outlineLevelCol="7"/>
  <cols>
    <col min="1" max="1" width="6.625" style="33" customWidth="1"/>
    <col min="2" max="2" width="25.625" style="33" customWidth="1"/>
    <col min="3" max="4" width="10.625" style="33" customWidth="1"/>
    <col min="5" max="5" width="12.25" style="34" customWidth="1"/>
    <col min="6" max="6" width="12.875" style="33" customWidth="1"/>
    <col min="7" max="7" width="8.5" style="33" customWidth="1"/>
    <col min="8" max="16384" width="8.75" style="33"/>
  </cols>
  <sheetData>
    <row r="1" ht="60" customHeight="1" spans="1:7">
      <c r="A1" s="2" t="s">
        <v>267</v>
      </c>
      <c r="B1" s="2"/>
      <c r="C1" s="2"/>
      <c r="D1" s="2"/>
      <c r="E1" s="35"/>
      <c r="F1" s="2"/>
      <c r="G1" s="2"/>
    </row>
    <row r="2" ht="30" customHeight="1" spans="1:7">
      <c r="A2" s="3" t="s">
        <v>147</v>
      </c>
      <c r="B2" s="3" t="s">
        <v>148</v>
      </c>
      <c r="C2" s="3" t="s">
        <v>149</v>
      </c>
      <c r="D2" s="3" t="s">
        <v>150</v>
      </c>
      <c r="E2" s="36" t="s">
        <v>218</v>
      </c>
      <c r="F2" s="4" t="s">
        <v>219</v>
      </c>
      <c r="G2" s="5" t="s">
        <v>153</v>
      </c>
    </row>
    <row r="3" ht="30" customHeight="1" spans="1:8">
      <c r="A3" s="6">
        <v>1</v>
      </c>
      <c r="B3" s="10" t="s">
        <v>236</v>
      </c>
      <c r="C3" s="6">
        <v>1180</v>
      </c>
      <c r="D3" s="6">
        <v>11.5</v>
      </c>
      <c r="E3" s="24">
        <f>C3*D3</f>
        <v>13570</v>
      </c>
      <c r="F3" s="11">
        <v>13570</v>
      </c>
      <c r="G3" s="50" t="s">
        <v>237</v>
      </c>
      <c r="H3" s="33" t="s">
        <v>238</v>
      </c>
    </row>
    <row r="4" ht="30" customHeight="1" spans="1:8">
      <c r="A4" s="6">
        <v>2</v>
      </c>
      <c r="B4" s="6" t="s">
        <v>239</v>
      </c>
      <c r="C4" s="6">
        <v>1211</v>
      </c>
      <c r="D4" s="6">
        <v>11.5</v>
      </c>
      <c r="E4" s="24">
        <f>C4*D4</f>
        <v>13926.5</v>
      </c>
      <c r="F4" s="11">
        <v>13927</v>
      </c>
      <c r="G4" s="51"/>
      <c r="H4" s="33" t="s">
        <v>240</v>
      </c>
    </row>
    <row r="5" ht="30" customHeight="1" spans="1:8">
      <c r="A5" s="6">
        <v>3</v>
      </c>
      <c r="B5" s="10" t="s">
        <v>241</v>
      </c>
      <c r="C5" s="10">
        <v>240</v>
      </c>
      <c r="D5" s="10">
        <v>15</v>
      </c>
      <c r="E5" s="24">
        <f>C5*D5</f>
        <v>3600</v>
      </c>
      <c r="F5" s="11">
        <v>3600</v>
      </c>
      <c r="G5" s="51"/>
      <c r="H5" s="33" t="s">
        <v>242</v>
      </c>
    </row>
    <row r="6" ht="30" customHeight="1" spans="1:8">
      <c r="A6" s="6">
        <v>4</v>
      </c>
      <c r="B6" s="42" t="s">
        <v>243</v>
      </c>
      <c r="C6" s="42">
        <v>240</v>
      </c>
      <c r="D6" s="42">
        <v>15</v>
      </c>
      <c r="E6" s="24">
        <f>C6*D6</f>
        <v>3600</v>
      </c>
      <c r="F6" s="11">
        <v>3600</v>
      </c>
      <c r="G6" s="52"/>
      <c r="H6" s="33" t="s">
        <v>244</v>
      </c>
    </row>
    <row r="7" customFormat="1" ht="30" customHeight="1" spans="1:8">
      <c r="A7" s="6">
        <v>5</v>
      </c>
      <c r="B7" s="42" t="s">
        <v>254</v>
      </c>
      <c r="C7" s="42">
        <v>240</v>
      </c>
      <c r="D7" s="42"/>
      <c r="E7" s="24">
        <v>4192.98</v>
      </c>
      <c r="F7" s="11">
        <v>4130</v>
      </c>
      <c r="G7" s="50" t="s">
        <v>155</v>
      </c>
      <c r="H7" t="s">
        <v>255</v>
      </c>
    </row>
    <row r="8" customFormat="1" ht="30" customHeight="1" spans="1:8">
      <c r="A8" s="6">
        <v>6</v>
      </c>
      <c r="B8" s="42" t="s">
        <v>256</v>
      </c>
      <c r="C8" s="42">
        <v>240</v>
      </c>
      <c r="D8" s="42"/>
      <c r="E8" s="24">
        <v>4500.3</v>
      </c>
      <c r="F8" s="11">
        <v>4436</v>
      </c>
      <c r="G8" s="51"/>
      <c r="H8" t="s">
        <v>257</v>
      </c>
    </row>
    <row r="9" customFormat="1" ht="30" customHeight="1" spans="1:8">
      <c r="A9" s="6">
        <v>7</v>
      </c>
      <c r="B9" s="42" t="s">
        <v>258</v>
      </c>
      <c r="C9" s="42">
        <v>390</v>
      </c>
      <c r="D9" s="42">
        <v>15</v>
      </c>
      <c r="E9" s="24">
        <f t="shared" ref="E9:E12" si="0">C9*D9</f>
        <v>5850</v>
      </c>
      <c r="F9" s="11">
        <v>5753</v>
      </c>
      <c r="G9" s="51"/>
      <c r="H9" t="s">
        <v>259</v>
      </c>
    </row>
    <row r="10" customFormat="1" ht="30" customHeight="1" spans="1:8">
      <c r="A10" s="6">
        <v>8</v>
      </c>
      <c r="B10" s="42" t="s">
        <v>258</v>
      </c>
      <c r="C10" s="42">
        <v>390</v>
      </c>
      <c r="D10" s="42">
        <v>15</v>
      </c>
      <c r="E10" s="24">
        <f t="shared" si="0"/>
        <v>5850</v>
      </c>
      <c r="F10" s="11">
        <v>5753</v>
      </c>
      <c r="G10" s="51"/>
      <c r="H10" t="s">
        <v>260</v>
      </c>
    </row>
    <row r="11" customFormat="1" ht="30" customHeight="1" spans="1:8">
      <c r="A11" s="6">
        <v>9</v>
      </c>
      <c r="B11" s="42" t="s">
        <v>261</v>
      </c>
      <c r="C11" s="42">
        <v>20</v>
      </c>
      <c r="D11" s="42">
        <v>9</v>
      </c>
      <c r="E11" s="24">
        <f t="shared" si="0"/>
        <v>180</v>
      </c>
      <c r="F11" s="11">
        <v>180</v>
      </c>
      <c r="G11" s="51"/>
      <c r="H11" t="s">
        <v>262</v>
      </c>
    </row>
    <row r="12" customFormat="1" ht="30" customHeight="1" spans="1:8">
      <c r="A12" s="6">
        <v>10</v>
      </c>
      <c r="B12" s="42" t="s">
        <v>263</v>
      </c>
      <c r="C12" s="42">
        <v>20</v>
      </c>
      <c r="D12" s="42">
        <v>9</v>
      </c>
      <c r="E12" s="24">
        <f t="shared" si="0"/>
        <v>180</v>
      </c>
      <c r="F12" s="11">
        <v>180</v>
      </c>
      <c r="G12" s="52"/>
      <c r="H12" t="s">
        <v>264</v>
      </c>
    </row>
    <row r="13" customFormat="1" ht="30" customHeight="1" spans="1:7">
      <c r="A13" s="6"/>
      <c r="B13" s="42"/>
      <c r="C13" s="42"/>
      <c r="D13" s="42"/>
      <c r="E13" s="24"/>
      <c r="F13" s="11"/>
      <c r="G13" s="52"/>
    </row>
    <row r="14" customFormat="1" ht="30" customHeight="1" spans="1:7">
      <c r="A14" s="6"/>
      <c r="B14" s="42"/>
      <c r="C14" s="42"/>
      <c r="D14" s="42"/>
      <c r="E14" s="24"/>
      <c r="F14" s="11"/>
      <c r="G14" s="12"/>
    </row>
    <row r="15" s="32" customFormat="1" ht="30" customHeight="1" spans="1:7">
      <c r="A15" s="6" t="s">
        <v>160</v>
      </c>
      <c r="B15" s="42"/>
      <c r="C15" s="6"/>
      <c r="D15" s="6"/>
      <c r="E15" s="14">
        <f>SUM(E3:E14)</f>
        <v>55449.78</v>
      </c>
      <c r="F15" s="6">
        <f>SUM(F3:F14)</f>
        <v>55129</v>
      </c>
      <c r="G15" s="12"/>
    </row>
    <row r="16" s="1" customFormat="1" ht="30" customHeight="1" spans="1:4">
      <c r="A16" s="13" t="s">
        <v>161</v>
      </c>
      <c r="B16" s="13"/>
      <c r="C16" s="13"/>
      <c r="D16" s="13"/>
    </row>
  </sheetData>
  <mergeCells count="3">
    <mergeCell ref="A1:G1"/>
    <mergeCell ref="G3:G6"/>
    <mergeCell ref="G7:G12"/>
  </mergeCells>
  <pageMargins left="0.699305555555556" right="0.699305555555556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A3" sqref="A3:A25"/>
    </sheetView>
  </sheetViews>
  <sheetFormatPr defaultColWidth="8.75" defaultRowHeight="13.5" outlineLevelCol="7"/>
  <cols>
    <col min="1" max="1" width="6.625" style="33" customWidth="1"/>
    <col min="2" max="2" width="25.625" style="33" customWidth="1"/>
    <col min="3" max="4" width="10.625" style="33" customWidth="1"/>
    <col min="5" max="5" width="12.25" style="34" customWidth="1"/>
    <col min="6" max="6" width="12.875" style="33" customWidth="1"/>
    <col min="7" max="7" width="8.5" style="33" customWidth="1"/>
    <col min="8" max="16384" width="8.75" style="33"/>
  </cols>
  <sheetData>
    <row r="1" ht="60" customHeight="1" spans="1:7">
      <c r="A1" s="2" t="s">
        <v>268</v>
      </c>
      <c r="B1" s="2"/>
      <c r="C1" s="2"/>
      <c r="D1" s="2"/>
      <c r="E1" s="35"/>
      <c r="F1" s="2"/>
      <c r="G1" s="2"/>
    </row>
    <row r="2" ht="30" customHeight="1" spans="1:7">
      <c r="A2" s="3" t="s">
        <v>147</v>
      </c>
      <c r="B2" s="3" t="s">
        <v>148</v>
      </c>
      <c r="C2" s="3" t="s">
        <v>149</v>
      </c>
      <c r="D2" s="3" t="s">
        <v>150</v>
      </c>
      <c r="E2" s="36" t="s">
        <v>218</v>
      </c>
      <c r="F2" s="4" t="s">
        <v>219</v>
      </c>
      <c r="G2" s="5" t="s">
        <v>153</v>
      </c>
    </row>
    <row r="3" ht="30" customHeight="1" spans="1:7">
      <c r="A3" s="6">
        <v>1</v>
      </c>
      <c r="B3" s="6" t="s">
        <v>220</v>
      </c>
      <c r="C3" s="6">
        <f>500-256</f>
        <v>244</v>
      </c>
      <c r="D3" s="6">
        <v>15.1</v>
      </c>
      <c r="E3" s="14">
        <f>D3*C3</f>
        <v>3684.4</v>
      </c>
      <c r="F3" s="11">
        <v>3621</v>
      </c>
      <c r="G3" s="50" t="s">
        <v>192</v>
      </c>
    </row>
    <row r="4" ht="30" customHeight="1" spans="1:7">
      <c r="A4" s="6">
        <v>2</v>
      </c>
      <c r="B4" s="6" t="s">
        <v>193</v>
      </c>
      <c r="C4" s="6">
        <v>820</v>
      </c>
      <c r="D4" s="6">
        <v>15.1</v>
      </c>
      <c r="E4" s="14">
        <f>D4*C4</f>
        <v>12382</v>
      </c>
      <c r="F4" s="11">
        <v>12468</v>
      </c>
      <c r="G4" s="51"/>
    </row>
    <row r="5" ht="30" customHeight="1" spans="1:7">
      <c r="A5" s="6">
        <v>3</v>
      </c>
      <c r="B5" s="6" t="s">
        <v>194</v>
      </c>
      <c r="C5" s="6">
        <f>505-256</f>
        <v>249</v>
      </c>
      <c r="D5" s="6">
        <v>15.1</v>
      </c>
      <c r="E5" s="14">
        <f>D5*C5</f>
        <v>3759.9</v>
      </c>
      <c r="F5" s="11">
        <v>3759</v>
      </c>
      <c r="G5" s="51"/>
    </row>
    <row r="6" ht="30" customHeight="1" spans="1:7">
      <c r="A6" s="6">
        <v>4</v>
      </c>
      <c r="B6" s="10" t="s">
        <v>195</v>
      </c>
      <c r="C6" s="6">
        <v>793</v>
      </c>
      <c r="D6" s="6">
        <v>15.1</v>
      </c>
      <c r="E6" s="14">
        <f>D6*C6</f>
        <v>11974.3</v>
      </c>
      <c r="F6" s="11">
        <v>12050</v>
      </c>
      <c r="G6" s="51"/>
    </row>
    <row r="7" ht="30" customHeight="1" spans="1:7">
      <c r="A7" s="6">
        <v>5</v>
      </c>
      <c r="B7" s="6" t="s">
        <v>196</v>
      </c>
      <c r="C7" s="6"/>
      <c r="D7" s="6"/>
      <c r="E7" s="14">
        <v>1690</v>
      </c>
      <c r="F7" s="11">
        <v>1690</v>
      </c>
      <c r="G7" s="52"/>
    </row>
    <row r="8" customFormat="1" ht="30" customHeight="1" spans="1:8">
      <c r="A8" s="6">
        <v>6</v>
      </c>
      <c r="B8" s="42" t="s">
        <v>197</v>
      </c>
      <c r="C8" s="42">
        <v>29</v>
      </c>
      <c r="D8" s="42">
        <f>14.75+0.18</f>
        <v>14.93</v>
      </c>
      <c r="E8" s="24">
        <f>C8*D8</f>
        <v>432.97</v>
      </c>
      <c r="F8" s="11">
        <v>436</v>
      </c>
      <c r="G8" s="50" t="s">
        <v>155</v>
      </c>
      <c r="H8" t="s">
        <v>198</v>
      </c>
    </row>
    <row r="9" customFormat="1" ht="30" customHeight="1" spans="1:8">
      <c r="A9" s="6">
        <v>7</v>
      </c>
      <c r="B9" s="42" t="s">
        <v>199</v>
      </c>
      <c r="C9" s="42">
        <v>88.5</v>
      </c>
      <c r="D9" s="42"/>
      <c r="E9" s="24">
        <v>2199</v>
      </c>
      <c r="F9" s="11">
        <v>2199</v>
      </c>
      <c r="G9" s="51"/>
      <c r="H9" t="s">
        <v>198</v>
      </c>
    </row>
    <row r="10" customFormat="1" ht="30" customHeight="1" spans="1:8">
      <c r="A10" s="6">
        <v>8</v>
      </c>
      <c r="B10" s="42" t="s">
        <v>200</v>
      </c>
      <c r="C10" s="42">
        <v>79.3</v>
      </c>
      <c r="D10" s="42"/>
      <c r="E10" s="24">
        <v>2106</v>
      </c>
      <c r="F10" s="11">
        <v>2106</v>
      </c>
      <c r="G10" s="51"/>
      <c r="H10" t="s">
        <v>201</v>
      </c>
    </row>
    <row r="11" customFormat="1" ht="30" customHeight="1" spans="1:8">
      <c r="A11" s="6">
        <v>9</v>
      </c>
      <c r="B11" s="42" t="s">
        <v>202</v>
      </c>
      <c r="C11" s="42">
        <v>65.5</v>
      </c>
      <c r="D11" s="42">
        <f>14.75+0.18</f>
        <v>14.93</v>
      </c>
      <c r="E11" s="24">
        <f t="shared" ref="E11:E14" si="0">C11*D11</f>
        <v>977.915</v>
      </c>
      <c r="F11" s="11">
        <v>985</v>
      </c>
      <c r="G11" s="51"/>
      <c r="H11" t="s">
        <v>198</v>
      </c>
    </row>
    <row r="12" customFormat="1" ht="30" customHeight="1" spans="1:8">
      <c r="A12" s="6">
        <v>10</v>
      </c>
      <c r="B12" s="42" t="s">
        <v>203</v>
      </c>
      <c r="C12" s="42">
        <v>74.7</v>
      </c>
      <c r="D12" s="42">
        <f>14.75+0.18</f>
        <v>14.93</v>
      </c>
      <c r="E12" s="24">
        <f t="shared" si="0"/>
        <v>1115.271</v>
      </c>
      <c r="F12" s="11">
        <v>1122</v>
      </c>
      <c r="G12" s="51"/>
      <c r="H12" t="s">
        <v>201</v>
      </c>
    </row>
    <row r="13" customFormat="1" ht="30" customHeight="1" spans="1:8">
      <c r="A13" s="6">
        <v>11</v>
      </c>
      <c r="B13" s="42" t="s">
        <v>154</v>
      </c>
      <c r="C13" s="42">
        <v>170.6</v>
      </c>
      <c r="D13" s="42">
        <f>29.5+0.36</f>
        <v>29.86</v>
      </c>
      <c r="E13" s="24">
        <f t="shared" si="0"/>
        <v>5094.116</v>
      </c>
      <c r="F13" s="11">
        <v>5080</v>
      </c>
      <c r="G13" s="51"/>
      <c r="H13" t="s">
        <v>204</v>
      </c>
    </row>
    <row r="14" customFormat="1" ht="30" customHeight="1" spans="1:8">
      <c r="A14" s="6">
        <v>12</v>
      </c>
      <c r="B14" s="42" t="s">
        <v>205</v>
      </c>
      <c r="C14" s="42">
        <v>29</v>
      </c>
      <c r="D14" s="42">
        <f>14.75+0.18</f>
        <v>14.93</v>
      </c>
      <c r="E14" s="24">
        <f t="shared" si="0"/>
        <v>432.97</v>
      </c>
      <c r="F14" s="11">
        <v>436</v>
      </c>
      <c r="G14" s="51"/>
      <c r="H14" t="s">
        <v>201</v>
      </c>
    </row>
    <row r="15" customFormat="1" ht="30" customHeight="1" spans="1:7">
      <c r="A15" s="6">
        <v>13</v>
      </c>
      <c r="B15" s="42" t="s">
        <v>206</v>
      </c>
      <c r="C15" s="42">
        <v>73.9</v>
      </c>
      <c r="D15" s="42"/>
      <c r="E15" s="24">
        <v>590</v>
      </c>
      <c r="F15" s="11">
        <v>590</v>
      </c>
      <c r="G15" s="51"/>
    </row>
    <row r="16" customFormat="1" ht="30" customHeight="1" spans="1:7">
      <c r="A16" s="6">
        <v>14</v>
      </c>
      <c r="B16" s="42" t="s">
        <v>156</v>
      </c>
      <c r="C16" s="42">
        <v>36.1</v>
      </c>
      <c r="D16" s="42"/>
      <c r="E16" s="24">
        <v>320</v>
      </c>
      <c r="F16" s="11">
        <v>320</v>
      </c>
      <c r="G16" s="51"/>
    </row>
    <row r="17" customFormat="1" ht="30" customHeight="1" spans="1:7">
      <c r="A17" s="6">
        <v>15</v>
      </c>
      <c r="B17" s="42" t="s">
        <v>158</v>
      </c>
      <c r="C17" s="42">
        <v>125.9</v>
      </c>
      <c r="D17" s="42">
        <f>9+0.18</f>
        <v>9.18</v>
      </c>
      <c r="E17" s="24">
        <f t="shared" ref="E17:E20" si="1">C17*D17</f>
        <v>1155.762</v>
      </c>
      <c r="F17" s="11">
        <v>1169</v>
      </c>
      <c r="G17" s="51"/>
    </row>
    <row r="18" customFormat="1" ht="30" customHeight="1" spans="1:7">
      <c r="A18" s="6">
        <v>16</v>
      </c>
      <c r="B18" s="42" t="s">
        <v>207</v>
      </c>
      <c r="C18" s="42">
        <v>25.4</v>
      </c>
      <c r="D18" s="42">
        <f>9+0.18</f>
        <v>9.18</v>
      </c>
      <c r="E18" s="24">
        <f t="shared" si="1"/>
        <v>233.172</v>
      </c>
      <c r="F18" s="11">
        <v>236</v>
      </c>
      <c r="G18" s="51"/>
    </row>
    <row r="19" customFormat="1" ht="30" customHeight="1" spans="1:7">
      <c r="A19" s="6">
        <v>17</v>
      </c>
      <c r="B19" s="42" t="s">
        <v>208</v>
      </c>
      <c r="C19" s="42">
        <v>50</v>
      </c>
      <c r="D19" s="42">
        <f>9+0.18</f>
        <v>9.18</v>
      </c>
      <c r="E19" s="24">
        <f t="shared" si="1"/>
        <v>459</v>
      </c>
      <c r="F19" s="11">
        <v>464</v>
      </c>
      <c r="G19" s="51"/>
    </row>
    <row r="20" customFormat="1" ht="30" customHeight="1" spans="1:7">
      <c r="A20" s="6">
        <v>18</v>
      </c>
      <c r="B20" s="42" t="s">
        <v>159</v>
      </c>
      <c r="C20" s="42">
        <v>208.4</v>
      </c>
      <c r="D20" s="42">
        <f>9+0.18</f>
        <v>9.18</v>
      </c>
      <c r="E20" s="24">
        <f t="shared" si="1"/>
        <v>1913.112</v>
      </c>
      <c r="F20" s="11">
        <v>1934</v>
      </c>
      <c r="G20" s="51"/>
    </row>
    <row r="21" customFormat="1" ht="30" customHeight="1" spans="1:7">
      <c r="A21" s="6">
        <v>19</v>
      </c>
      <c r="B21" s="42" t="s">
        <v>209</v>
      </c>
      <c r="C21" s="42">
        <v>60</v>
      </c>
      <c r="D21" s="42"/>
      <c r="E21" s="24">
        <v>681</v>
      </c>
      <c r="F21" s="11">
        <v>681</v>
      </c>
      <c r="G21" s="51"/>
    </row>
    <row r="22" customFormat="1" ht="30" customHeight="1" spans="1:7">
      <c r="A22" s="6">
        <v>20</v>
      </c>
      <c r="B22" s="42" t="s">
        <v>210</v>
      </c>
      <c r="C22" s="42">
        <v>227.6</v>
      </c>
      <c r="D22" s="42">
        <f>9+0.18</f>
        <v>9.18</v>
      </c>
      <c r="E22" s="24">
        <f>C22*D22</f>
        <v>2089.368</v>
      </c>
      <c r="F22" s="11">
        <v>2112</v>
      </c>
      <c r="G22" s="51"/>
    </row>
    <row r="23" customFormat="1" ht="30" customHeight="1" spans="1:7">
      <c r="A23" s="6">
        <v>21</v>
      </c>
      <c r="B23" s="42" t="s">
        <v>211</v>
      </c>
      <c r="C23" s="42">
        <v>213.8</v>
      </c>
      <c r="D23" s="42">
        <f>9+0.18</f>
        <v>9.18</v>
      </c>
      <c r="E23" s="24">
        <f>C23*D23</f>
        <v>1962.684</v>
      </c>
      <c r="F23" s="11">
        <v>1984</v>
      </c>
      <c r="G23" s="51"/>
    </row>
    <row r="24" customFormat="1" ht="30" customHeight="1" spans="1:7">
      <c r="A24" s="6">
        <v>22</v>
      </c>
      <c r="B24" s="42" t="s">
        <v>212</v>
      </c>
      <c r="C24" s="42"/>
      <c r="D24" s="42"/>
      <c r="E24" s="24">
        <v>1749</v>
      </c>
      <c r="F24" s="11">
        <v>1749</v>
      </c>
      <c r="G24" s="51"/>
    </row>
    <row r="25" customFormat="1" ht="30" customHeight="1" spans="1:7">
      <c r="A25" s="6">
        <v>23</v>
      </c>
      <c r="B25" s="42" t="s">
        <v>213</v>
      </c>
      <c r="C25" s="42"/>
      <c r="D25" s="42"/>
      <c r="E25" s="24">
        <v>1488</v>
      </c>
      <c r="F25" s="11">
        <v>1488</v>
      </c>
      <c r="G25" s="52"/>
    </row>
    <row r="26" customFormat="1" ht="30" customHeight="1" spans="1:7">
      <c r="A26" s="6"/>
      <c r="B26" s="42"/>
      <c r="C26" s="42"/>
      <c r="D26" s="42"/>
      <c r="E26" s="24"/>
      <c r="F26" s="11"/>
      <c r="G26" s="52"/>
    </row>
    <row r="27" customFormat="1" ht="30" customHeight="1" spans="1:7">
      <c r="A27" s="6"/>
      <c r="B27" s="42"/>
      <c r="C27" s="42"/>
      <c r="D27" s="42"/>
      <c r="E27" s="24"/>
      <c r="F27" s="11"/>
      <c r="G27" s="12"/>
    </row>
    <row r="28" s="32" customFormat="1" ht="30" customHeight="1" spans="1:7">
      <c r="A28" s="6" t="s">
        <v>160</v>
      </c>
      <c r="B28" s="42"/>
      <c r="C28" s="6"/>
      <c r="D28" s="6"/>
      <c r="E28" s="14">
        <f>SUM(E3:E27)</f>
        <v>58489.94</v>
      </c>
      <c r="F28" s="6">
        <f>SUM(F3:F27)</f>
        <v>58679</v>
      </c>
      <c r="G28" s="12"/>
    </row>
    <row r="29" s="1" customFormat="1" ht="30" customHeight="1" spans="1:4">
      <c r="A29" s="13" t="s">
        <v>161</v>
      </c>
      <c r="B29" s="13"/>
      <c r="C29" s="13"/>
      <c r="D29" s="13"/>
    </row>
  </sheetData>
  <mergeCells count="3">
    <mergeCell ref="A1:G1"/>
    <mergeCell ref="G3:G7"/>
    <mergeCell ref="G8:G25"/>
  </mergeCells>
  <pageMargins left="0.699305555555556" right="0.69930555555555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workbookViewId="0">
      <selection activeCell="E55" sqref="E55"/>
    </sheetView>
  </sheetViews>
  <sheetFormatPr defaultColWidth="8.75" defaultRowHeight="13.5" outlineLevelCol="7"/>
  <cols>
    <col min="1" max="1" width="6.625" style="33" customWidth="1"/>
    <col min="2" max="2" width="25.625" style="33" customWidth="1"/>
    <col min="3" max="4" width="10.625" style="33" customWidth="1"/>
    <col min="5" max="5" width="12.25" style="34" customWidth="1"/>
    <col min="6" max="6" width="12.875" style="33" customWidth="1"/>
    <col min="7" max="7" width="8.5" style="33" customWidth="1"/>
    <col min="8" max="16384" width="8.75" style="33"/>
  </cols>
  <sheetData>
    <row r="1" ht="60" customHeight="1" spans="1:7">
      <c r="A1" s="2" t="s">
        <v>269</v>
      </c>
      <c r="B1" s="2"/>
      <c r="C1" s="2"/>
      <c r="D1" s="2"/>
      <c r="E1" s="35"/>
      <c r="F1" s="2"/>
      <c r="G1" s="2"/>
    </row>
    <row r="2" ht="30" customHeight="1" spans="1:7">
      <c r="A2" s="3" t="s">
        <v>147</v>
      </c>
      <c r="B2" s="3" t="s">
        <v>148</v>
      </c>
      <c r="C2" s="3" t="s">
        <v>149</v>
      </c>
      <c r="D2" s="3" t="s">
        <v>150</v>
      </c>
      <c r="E2" s="36" t="s">
        <v>218</v>
      </c>
      <c r="F2" s="4" t="s">
        <v>219</v>
      </c>
      <c r="G2" s="5" t="s">
        <v>153</v>
      </c>
    </row>
    <row r="3" ht="39" customHeight="1" spans="1:7">
      <c r="A3" s="6">
        <v>1</v>
      </c>
      <c r="B3" s="43" t="s">
        <v>231</v>
      </c>
      <c r="C3" s="7">
        <v>6</v>
      </c>
      <c r="D3" s="7">
        <f>15+0.1</f>
        <v>15.1</v>
      </c>
      <c r="E3" s="24">
        <f>D3*C3</f>
        <v>90.6</v>
      </c>
      <c r="F3" s="14">
        <v>91</v>
      </c>
      <c r="G3" s="47" t="s">
        <v>232</v>
      </c>
    </row>
    <row r="4" ht="30" customHeight="1" spans="1:7">
      <c r="A4" s="6">
        <v>2</v>
      </c>
      <c r="B4" s="43" t="s">
        <v>233</v>
      </c>
      <c r="C4" s="6">
        <v>8</v>
      </c>
      <c r="D4" s="6">
        <f>15+0.1</f>
        <v>15.1</v>
      </c>
      <c r="E4" s="24">
        <f t="shared" ref="E3:E10" si="0">D4*C4</f>
        <v>120.8</v>
      </c>
      <c r="F4" s="11">
        <v>121</v>
      </c>
      <c r="G4" s="48"/>
    </row>
    <row r="5" ht="30" customHeight="1" spans="1:7">
      <c r="A5" s="6">
        <v>3</v>
      </c>
      <c r="B5" s="6" t="s">
        <v>234</v>
      </c>
      <c r="C5" s="6">
        <v>8</v>
      </c>
      <c r="D5" s="6">
        <f>15+0.1</f>
        <v>15.1</v>
      </c>
      <c r="E5" s="24">
        <f t="shared" si="0"/>
        <v>120.8</v>
      </c>
      <c r="F5" s="11">
        <v>121</v>
      </c>
      <c r="G5" s="48"/>
    </row>
    <row r="6" ht="30" customHeight="1" spans="1:7">
      <c r="A6" s="6">
        <v>4</v>
      </c>
      <c r="B6" s="6" t="s">
        <v>235</v>
      </c>
      <c r="C6" s="6">
        <v>6</v>
      </c>
      <c r="D6" s="6">
        <f>15+0.1</f>
        <v>15.1</v>
      </c>
      <c r="E6" s="24">
        <f t="shared" si="0"/>
        <v>90.6</v>
      </c>
      <c r="F6" s="11">
        <v>91</v>
      </c>
      <c r="G6" s="49"/>
    </row>
    <row r="7" ht="30" customHeight="1" spans="1:7">
      <c r="A7" s="6">
        <v>5</v>
      </c>
      <c r="B7" s="6" t="s">
        <v>220</v>
      </c>
      <c r="C7" s="6">
        <f>500-256</f>
        <v>244</v>
      </c>
      <c r="D7" s="6">
        <v>15.1</v>
      </c>
      <c r="E7" s="14">
        <f t="shared" si="0"/>
        <v>3684.4</v>
      </c>
      <c r="F7" s="11">
        <v>3588</v>
      </c>
      <c r="G7" s="50" t="s">
        <v>192</v>
      </c>
    </row>
    <row r="8" ht="30" customHeight="1" spans="1:7">
      <c r="A8" s="6">
        <v>6</v>
      </c>
      <c r="B8" s="6" t="s">
        <v>193</v>
      </c>
      <c r="C8" s="6">
        <v>820</v>
      </c>
      <c r="D8" s="6">
        <v>15.1</v>
      </c>
      <c r="E8" s="14">
        <f t="shared" si="0"/>
        <v>12382</v>
      </c>
      <c r="F8" s="11">
        <v>12354</v>
      </c>
      <c r="G8" s="51"/>
    </row>
    <row r="9" ht="30" customHeight="1" spans="1:7">
      <c r="A9" s="6">
        <v>7</v>
      </c>
      <c r="B9" s="6" t="s">
        <v>194</v>
      </c>
      <c r="C9" s="6">
        <f>505-256</f>
        <v>249</v>
      </c>
      <c r="D9" s="6">
        <v>15.1</v>
      </c>
      <c r="E9" s="14">
        <f t="shared" si="0"/>
        <v>3759.9</v>
      </c>
      <c r="F9" s="11">
        <v>3724</v>
      </c>
      <c r="G9" s="51"/>
    </row>
    <row r="10" ht="30" customHeight="1" spans="1:7">
      <c r="A10" s="6">
        <v>8</v>
      </c>
      <c r="B10" s="10" t="s">
        <v>195</v>
      </c>
      <c r="C10" s="6">
        <v>793</v>
      </c>
      <c r="D10" s="6">
        <v>15.1</v>
      </c>
      <c r="E10" s="14">
        <f t="shared" si="0"/>
        <v>11974.3</v>
      </c>
      <c r="F10" s="11">
        <v>11940</v>
      </c>
      <c r="G10" s="51"/>
    </row>
    <row r="11" ht="30" customHeight="1" spans="1:7">
      <c r="A11" s="6">
        <v>9</v>
      </c>
      <c r="B11" s="6" t="s">
        <v>196</v>
      </c>
      <c r="C11" s="6"/>
      <c r="D11" s="6"/>
      <c r="E11" s="14">
        <v>1690</v>
      </c>
      <c r="F11" s="11">
        <v>1690</v>
      </c>
      <c r="G11" s="52"/>
    </row>
    <row r="12" ht="30" customHeight="1" spans="1:8">
      <c r="A12" s="6">
        <v>10</v>
      </c>
      <c r="B12" s="10" t="s">
        <v>236</v>
      </c>
      <c r="C12" s="6">
        <v>1180</v>
      </c>
      <c r="D12" s="6">
        <v>11.5</v>
      </c>
      <c r="E12" s="24">
        <f t="shared" ref="E12:E25" si="1">C12*D12</f>
        <v>13570</v>
      </c>
      <c r="F12" s="11">
        <v>13570</v>
      </c>
      <c r="G12" s="50" t="s">
        <v>237</v>
      </c>
      <c r="H12" s="33" t="s">
        <v>238</v>
      </c>
    </row>
    <row r="13" ht="30" customHeight="1" spans="1:8">
      <c r="A13" s="6">
        <v>11</v>
      </c>
      <c r="B13" s="6" t="s">
        <v>239</v>
      </c>
      <c r="C13" s="6">
        <v>1211</v>
      </c>
      <c r="D13" s="6">
        <v>11.5</v>
      </c>
      <c r="E13" s="24">
        <f t="shared" si="1"/>
        <v>13926.5</v>
      </c>
      <c r="F13" s="11">
        <v>13927</v>
      </c>
      <c r="G13" s="51"/>
      <c r="H13" s="33" t="s">
        <v>240</v>
      </c>
    </row>
    <row r="14" ht="30" customHeight="1" spans="1:8">
      <c r="A14" s="6">
        <v>12</v>
      </c>
      <c r="B14" s="10" t="s">
        <v>241</v>
      </c>
      <c r="C14" s="10">
        <v>240</v>
      </c>
      <c r="D14" s="10">
        <v>15</v>
      </c>
      <c r="E14" s="24">
        <f t="shared" si="1"/>
        <v>3600</v>
      </c>
      <c r="F14" s="11">
        <v>3600</v>
      </c>
      <c r="G14" s="51"/>
      <c r="H14" s="33" t="s">
        <v>242</v>
      </c>
    </row>
    <row r="15" ht="30" customHeight="1" spans="1:8">
      <c r="A15" s="6">
        <v>13</v>
      </c>
      <c r="B15" s="42" t="s">
        <v>243</v>
      </c>
      <c r="C15" s="42">
        <v>240</v>
      </c>
      <c r="D15" s="42">
        <v>15</v>
      </c>
      <c r="E15" s="24">
        <f t="shared" si="1"/>
        <v>3600</v>
      </c>
      <c r="F15" s="11">
        <v>3600</v>
      </c>
      <c r="G15" s="52"/>
      <c r="H15" s="33" t="s">
        <v>244</v>
      </c>
    </row>
    <row r="16" ht="30" customHeight="1" spans="1:7">
      <c r="A16" s="6">
        <v>14</v>
      </c>
      <c r="B16" s="42" t="s">
        <v>245</v>
      </c>
      <c r="C16" s="42">
        <v>8</v>
      </c>
      <c r="D16" s="42">
        <v>15.1</v>
      </c>
      <c r="E16" s="24">
        <f t="shared" si="1"/>
        <v>120.8</v>
      </c>
      <c r="F16" s="53">
        <v>237</v>
      </c>
      <c r="G16" s="51"/>
    </row>
    <row r="17" ht="30" customHeight="1" spans="1:7">
      <c r="A17" s="6">
        <v>15</v>
      </c>
      <c r="B17" s="42" t="s">
        <v>246</v>
      </c>
      <c r="C17" s="42">
        <v>8</v>
      </c>
      <c r="D17" s="42">
        <v>17.25</v>
      </c>
      <c r="E17" s="24">
        <f t="shared" si="1"/>
        <v>138</v>
      </c>
      <c r="F17" s="54"/>
      <c r="G17" s="50" t="s">
        <v>247</v>
      </c>
    </row>
    <row r="18" ht="30" customHeight="1" spans="1:7">
      <c r="A18" s="6">
        <v>16</v>
      </c>
      <c r="B18" s="42" t="s">
        <v>248</v>
      </c>
      <c r="C18" s="42">
        <v>8</v>
      </c>
      <c r="D18" s="42">
        <v>20.03</v>
      </c>
      <c r="E18" s="24">
        <f t="shared" si="1"/>
        <v>160.24</v>
      </c>
      <c r="F18" s="53">
        <v>315</v>
      </c>
      <c r="G18" s="51"/>
    </row>
    <row r="19" ht="30" customHeight="1" spans="1:7">
      <c r="A19" s="6">
        <v>17</v>
      </c>
      <c r="B19" s="42" t="s">
        <v>248</v>
      </c>
      <c r="C19" s="42">
        <v>8</v>
      </c>
      <c r="D19" s="42">
        <v>19.865</v>
      </c>
      <c r="E19" s="24">
        <f t="shared" si="1"/>
        <v>158.92</v>
      </c>
      <c r="F19" s="54"/>
      <c r="G19" s="51"/>
    </row>
    <row r="20" ht="30" customHeight="1" spans="1:7">
      <c r="A20" s="6">
        <v>18</v>
      </c>
      <c r="B20" s="42" t="s">
        <v>249</v>
      </c>
      <c r="C20" s="42">
        <v>8</v>
      </c>
      <c r="D20" s="42">
        <v>32.2</v>
      </c>
      <c r="E20" s="24">
        <f t="shared" si="1"/>
        <v>257.6</v>
      </c>
      <c r="F20" s="11">
        <v>237</v>
      </c>
      <c r="G20" s="51"/>
    </row>
    <row r="21" ht="30" customHeight="1" spans="1:7">
      <c r="A21" s="6">
        <v>19</v>
      </c>
      <c r="B21" s="42" t="s">
        <v>250</v>
      </c>
      <c r="C21" s="42">
        <v>6</v>
      </c>
      <c r="D21" s="42">
        <v>9.1</v>
      </c>
      <c r="E21" s="24">
        <f t="shared" si="1"/>
        <v>54.6</v>
      </c>
      <c r="F21" s="11">
        <v>55</v>
      </c>
      <c r="G21" s="51"/>
    </row>
    <row r="22" ht="30" customHeight="1" spans="1:7">
      <c r="A22" s="6">
        <v>20</v>
      </c>
      <c r="B22" s="42" t="s">
        <v>251</v>
      </c>
      <c r="C22" s="42">
        <v>6</v>
      </c>
      <c r="D22" s="42">
        <v>9.1</v>
      </c>
      <c r="E22" s="24">
        <f t="shared" si="1"/>
        <v>54.6</v>
      </c>
      <c r="F22" s="11">
        <v>55</v>
      </c>
      <c r="G22" s="51"/>
    </row>
    <row r="23" customFormat="1" ht="30" customHeight="1" spans="1:7">
      <c r="A23" s="6">
        <v>21</v>
      </c>
      <c r="B23" s="42" t="s">
        <v>252</v>
      </c>
      <c r="C23" s="42">
        <v>6</v>
      </c>
      <c r="D23" s="42">
        <v>9.1</v>
      </c>
      <c r="E23" s="24">
        <f t="shared" si="1"/>
        <v>54.6</v>
      </c>
      <c r="F23" s="11">
        <v>55</v>
      </c>
      <c r="G23" s="51"/>
    </row>
    <row r="24" customFormat="1" ht="30" customHeight="1" spans="1:7">
      <c r="A24" s="6">
        <v>22</v>
      </c>
      <c r="B24" s="42" t="s">
        <v>253</v>
      </c>
      <c r="C24" s="42">
        <v>6</v>
      </c>
      <c r="D24" s="42">
        <v>9.1</v>
      </c>
      <c r="E24" s="24">
        <f t="shared" si="1"/>
        <v>54.6</v>
      </c>
      <c r="F24" s="11">
        <v>55</v>
      </c>
      <c r="G24" s="52"/>
    </row>
    <row r="25" customFormat="1" ht="30" customHeight="1" spans="1:8">
      <c r="A25" s="6">
        <v>23</v>
      </c>
      <c r="B25" s="42" t="s">
        <v>197</v>
      </c>
      <c r="C25" s="42">
        <v>29</v>
      </c>
      <c r="D25" s="42">
        <v>14.85</v>
      </c>
      <c r="E25" s="24">
        <f t="shared" si="1"/>
        <v>430.65</v>
      </c>
      <c r="F25" s="11">
        <v>432</v>
      </c>
      <c r="G25" s="50" t="s">
        <v>155</v>
      </c>
      <c r="H25" t="s">
        <v>198</v>
      </c>
    </row>
    <row r="26" customFormat="1" ht="30" customHeight="1" spans="1:8">
      <c r="A26" s="6">
        <v>24</v>
      </c>
      <c r="B26" s="42" t="s">
        <v>199</v>
      </c>
      <c r="C26" s="42">
        <v>88.5</v>
      </c>
      <c r="D26" s="42"/>
      <c r="E26" s="24">
        <v>2186</v>
      </c>
      <c r="F26" s="11">
        <v>2186</v>
      </c>
      <c r="G26" s="51"/>
      <c r="H26" t="s">
        <v>198</v>
      </c>
    </row>
    <row r="27" customFormat="1" ht="30" customHeight="1" spans="1:8">
      <c r="A27" s="6">
        <v>25</v>
      </c>
      <c r="B27" s="42" t="s">
        <v>200</v>
      </c>
      <c r="C27" s="42">
        <v>79.3</v>
      </c>
      <c r="D27" s="42"/>
      <c r="E27" s="24">
        <v>2095</v>
      </c>
      <c r="F27" s="11">
        <v>2095</v>
      </c>
      <c r="G27" s="51"/>
      <c r="H27" t="s">
        <v>201</v>
      </c>
    </row>
    <row r="28" customFormat="1" ht="30" customHeight="1" spans="1:8">
      <c r="A28" s="6">
        <v>26</v>
      </c>
      <c r="B28" s="42" t="s">
        <v>202</v>
      </c>
      <c r="C28" s="42">
        <v>65.5</v>
      </c>
      <c r="D28" s="42">
        <v>14.85</v>
      </c>
      <c r="E28" s="24">
        <f t="shared" ref="E28:E31" si="2">C28*D28</f>
        <v>972.675</v>
      </c>
      <c r="F28" s="11">
        <v>976</v>
      </c>
      <c r="G28" s="51"/>
      <c r="H28" t="s">
        <v>198</v>
      </c>
    </row>
    <row r="29" customFormat="1" ht="30" customHeight="1" spans="1:8">
      <c r="A29" s="6">
        <v>27</v>
      </c>
      <c r="B29" s="42" t="s">
        <v>203</v>
      </c>
      <c r="C29" s="42">
        <v>74.7</v>
      </c>
      <c r="D29" s="42">
        <v>14.85</v>
      </c>
      <c r="E29" s="24">
        <f t="shared" si="2"/>
        <v>1109.295</v>
      </c>
      <c r="F29" s="11">
        <v>1112</v>
      </c>
      <c r="G29" s="51"/>
      <c r="H29" t="s">
        <v>201</v>
      </c>
    </row>
    <row r="30" customFormat="1" ht="30" customHeight="1" spans="1:8">
      <c r="A30" s="6">
        <v>28</v>
      </c>
      <c r="B30" s="42" t="s">
        <v>154</v>
      </c>
      <c r="C30" s="42">
        <v>170.6</v>
      </c>
      <c r="D30" s="42">
        <v>29.7</v>
      </c>
      <c r="E30" s="24">
        <f t="shared" si="2"/>
        <v>5066.82</v>
      </c>
      <c r="F30" s="11">
        <v>5057</v>
      </c>
      <c r="G30" s="51"/>
      <c r="H30" t="s">
        <v>204</v>
      </c>
    </row>
    <row r="31" customFormat="1" ht="30" customHeight="1" spans="1:8">
      <c r="A31" s="6">
        <v>29</v>
      </c>
      <c r="B31" s="42" t="s">
        <v>205</v>
      </c>
      <c r="C31" s="42">
        <v>29</v>
      </c>
      <c r="D31" s="42">
        <v>14.85</v>
      </c>
      <c r="E31" s="24">
        <f t="shared" si="2"/>
        <v>430.65</v>
      </c>
      <c r="F31" s="11">
        <v>432</v>
      </c>
      <c r="G31" s="51"/>
      <c r="H31" t="s">
        <v>201</v>
      </c>
    </row>
    <row r="32" customFormat="1" ht="30" customHeight="1" spans="1:7">
      <c r="A32" s="6">
        <v>30</v>
      </c>
      <c r="B32" s="42" t="s">
        <v>206</v>
      </c>
      <c r="C32" s="42">
        <v>73.9</v>
      </c>
      <c r="D32" s="42"/>
      <c r="E32" s="24">
        <v>579</v>
      </c>
      <c r="F32" s="11">
        <v>579</v>
      </c>
      <c r="G32" s="51"/>
    </row>
    <row r="33" customFormat="1" ht="30" customHeight="1" spans="1:7">
      <c r="A33" s="6">
        <v>31</v>
      </c>
      <c r="B33" s="42" t="s">
        <v>156</v>
      </c>
      <c r="C33" s="42">
        <v>36.1</v>
      </c>
      <c r="D33" s="42"/>
      <c r="E33" s="24">
        <v>315</v>
      </c>
      <c r="F33" s="11">
        <v>315</v>
      </c>
      <c r="G33" s="51"/>
    </row>
    <row r="34" customFormat="1" ht="30" customHeight="1" spans="1:7">
      <c r="A34" s="6">
        <v>32</v>
      </c>
      <c r="B34" s="42" t="s">
        <v>158</v>
      </c>
      <c r="C34" s="42">
        <v>125.9</v>
      </c>
      <c r="D34" s="42">
        <v>9.1</v>
      </c>
      <c r="E34" s="24">
        <f t="shared" ref="E34:E37" si="3">C34*D34</f>
        <v>1145.69</v>
      </c>
      <c r="F34" s="11">
        <v>1151</v>
      </c>
      <c r="G34" s="51"/>
    </row>
    <row r="35" customFormat="1" ht="30" customHeight="1" spans="1:7">
      <c r="A35" s="6">
        <v>33</v>
      </c>
      <c r="B35" s="42" t="s">
        <v>207</v>
      </c>
      <c r="C35" s="42">
        <v>25.4</v>
      </c>
      <c r="D35" s="42">
        <v>9.1</v>
      </c>
      <c r="E35" s="24">
        <f t="shared" si="3"/>
        <v>231.14</v>
      </c>
      <c r="F35" s="11">
        <v>231</v>
      </c>
      <c r="G35" s="51"/>
    </row>
    <row r="36" customFormat="1" ht="30" customHeight="1" spans="1:7">
      <c r="A36" s="6">
        <v>34</v>
      </c>
      <c r="B36" s="42" t="s">
        <v>208</v>
      </c>
      <c r="C36" s="42">
        <v>50</v>
      </c>
      <c r="D36" s="42">
        <v>9.1</v>
      </c>
      <c r="E36" s="24">
        <f t="shared" si="3"/>
        <v>455</v>
      </c>
      <c r="F36" s="11">
        <v>457</v>
      </c>
      <c r="G36" s="51"/>
    </row>
    <row r="37" customFormat="1" ht="30" customHeight="1" spans="1:7">
      <c r="A37" s="6">
        <v>35</v>
      </c>
      <c r="B37" s="42" t="s">
        <v>159</v>
      </c>
      <c r="C37" s="42">
        <v>208.4</v>
      </c>
      <c r="D37" s="42">
        <v>9.1</v>
      </c>
      <c r="E37" s="24">
        <f t="shared" si="3"/>
        <v>1896.44</v>
      </c>
      <c r="F37" s="11">
        <v>1905</v>
      </c>
      <c r="G37" s="51"/>
    </row>
    <row r="38" customFormat="1" ht="30" customHeight="1" spans="1:7">
      <c r="A38" s="6">
        <v>36</v>
      </c>
      <c r="B38" s="42" t="s">
        <v>209</v>
      </c>
      <c r="C38" s="42">
        <v>60</v>
      </c>
      <c r="D38" s="42"/>
      <c r="E38" s="24">
        <v>673</v>
      </c>
      <c r="F38" s="11">
        <v>673</v>
      </c>
      <c r="G38" s="51"/>
    </row>
    <row r="39" customFormat="1" ht="30" customHeight="1" spans="1:7">
      <c r="A39" s="6">
        <v>37</v>
      </c>
      <c r="B39" s="42" t="s">
        <v>210</v>
      </c>
      <c r="C39" s="42">
        <v>227.6</v>
      </c>
      <c r="D39" s="42">
        <v>9.1</v>
      </c>
      <c r="E39" s="24">
        <f>C39*D39</f>
        <v>2071.16</v>
      </c>
      <c r="F39" s="11">
        <v>2080</v>
      </c>
      <c r="G39" s="51"/>
    </row>
    <row r="40" customFormat="1" ht="30" customHeight="1" spans="1:7">
      <c r="A40" s="6">
        <v>38</v>
      </c>
      <c r="B40" s="42" t="s">
        <v>211</v>
      </c>
      <c r="C40" s="42">
        <v>213.8</v>
      </c>
      <c r="D40" s="42">
        <v>9.1</v>
      </c>
      <c r="E40" s="24">
        <f>C40*D40</f>
        <v>1945.58</v>
      </c>
      <c r="F40" s="11">
        <v>1954</v>
      </c>
      <c r="G40" s="51"/>
    </row>
    <row r="41" customFormat="1" ht="30" customHeight="1" spans="1:7">
      <c r="A41" s="6">
        <v>39</v>
      </c>
      <c r="B41" s="42" t="s">
        <v>212</v>
      </c>
      <c r="C41" s="42"/>
      <c r="D41" s="42"/>
      <c r="E41" s="24">
        <v>1749</v>
      </c>
      <c r="F41" s="11">
        <v>1749</v>
      </c>
      <c r="G41" s="51"/>
    </row>
    <row r="42" customFormat="1" ht="30" customHeight="1" spans="1:7">
      <c r="A42" s="6">
        <v>40</v>
      </c>
      <c r="B42" s="42" t="s">
        <v>213</v>
      </c>
      <c r="C42" s="42"/>
      <c r="D42" s="42"/>
      <c r="E42" s="24">
        <v>1488</v>
      </c>
      <c r="F42" s="11">
        <v>1488</v>
      </c>
      <c r="G42" s="52"/>
    </row>
    <row r="43" customFormat="1" ht="30" customHeight="1" spans="1:8">
      <c r="A43" s="6">
        <v>41</v>
      </c>
      <c r="B43" s="42" t="s">
        <v>254</v>
      </c>
      <c r="C43" s="42">
        <v>240</v>
      </c>
      <c r="D43" s="42"/>
      <c r="E43" s="24">
        <v>4192.98</v>
      </c>
      <c r="F43" s="11">
        <v>4130</v>
      </c>
      <c r="G43" s="50" t="s">
        <v>155</v>
      </c>
      <c r="H43" t="s">
        <v>255</v>
      </c>
    </row>
    <row r="44" customFormat="1" ht="30" customHeight="1" spans="1:8">
      <c r="A44" s="6">
        <v>42</v>
      </c>
      <c r="B44" s="42" t="s">
        <v>256</v>
      </c>
      <c r="C44" s="42">
        <v>240</v>
      </c>
      <c r="D44" s="42"/>
      <c r="E44" s="24">
        <v>4500.3</v>
      </c>
      <c r="F44" s="11">
        <v>4436</v>
      </c>
      <c r="G44" s="51"/>
      <c r="H44" t="s">
        <v>257</v>
      </c>
    </row>
    <row r="45" customFormat="1" ht="30" customHeight="1" spans="1:8">
      <c r="A45" s="6">
        <v>43</v>
      </c>
      <c r="B45" s="42" t="s">
        <v>258</v>
      </c>
      <c r="C45" s="42">
        <v>390</v>
      </c>
      <c r="D45" s="42">
        <v>15</v>
      </c>
      <c r="E45" s="24">
        <f t="shared" ref="E45:E48" si="4">C45*D45</f>
        <v>5850</v>
      </c>
      <c r="F45" s="11">
        <v>5753</v>
      </c>
      <c r="G45" s="51"/>
      <c r="H45" t="s">
        <v>259</v>
      </c>
    </row>
    <row r="46" customFormat="1" ht="30" customHeight="1" spans="1:8">
      <c r="A46" s="6">
        <v>44</v>
      </c>
      <c r="B46" s="42" t="s">
        <v>258</v>
      </c>
      <c r="C46" s="42">
        <v>390</v>
      </c>
      <c r="D46" s="42">
        <v>15</v>
      </c>
      <c r="E46" s="24">
        <f t="shared" si="4"/>
        <v>5850</v>
      </c>
      <c r="F46" s="11">
        <v>5753</v>
      </c>
      <c r="G46" s="51"/>
      <c r="H46" t="s">
        <v>260</v>
      </c>
    </row>
    <row r="47" customFormat="1" ht="30" customHeight="1" spans="1:8">
      <c r="A47" s="6">
        <v>45</v>
      </c>
      <c r="B47" s="42" t="s">
        <v>261</v>
      </c>
      <c r="C47" s="42">
        <v>20</v>
      </c>
      <c r="D47" s="42">
        <v>9</v>
      </c>
      <c r="E47" s="24">
        <f t="shared" si="4"/>
        <v>180</v>
      </c>
      <c r="F47" s="11">
        <v>180</v>
      </c>
      <c r="G47" s="51"/>
      <c r="H47" t="s">
        <v>262</v>
      </c>
    </row>
    <row r="48" customFormat="1" ht="30" customHeight="1" spans="1:8">
      <c r="A48" s="6">
        <v>46</v>
      </c>
      <c r="B48" s="42" t="s">
        <v>263</v>
      </c>
      <c r="C48" s="42">
        <v>20</v>
      </c>
      <c r="D48" s="42">
        <v>9</v>
      </c>
      <c r="E48" s="24">
        <f t="shared" si="4"/>
        <v>180</v>
      </c>
      <c r="F48" s="11">
        <v>180</v>
      </c>
      <c r="G48" s="52"/>
      <c r="H48" t="s">
        <v>264</v>
      </c>
    </row>
    <row r="49" customFormat="1" ht="30" customHeight="1" spans="1:7">
      <c r="A49" s="6">
        <v>47</v>
      </c>
      <c r="B49" s="42" t="s">
        <v>221</v>
      </c>
      <c r="C49" s="42"/>
      <c r="D49" s="42"/>
      <c r="E49" s="24">
        <v>108</v>
      </c>
      <c r="F49" s="11">
        <v>108</v>
      </c>
      <c r="G49" s="50" t="s">
        <v>222</v>
      </c>
    </row>
    <row r="50" customFormat="1" ht="30" customHeight="1" spans="1:7">
      <c r="A50" s="6">
        <v>48</v>
      </c>
      <c r="B50" s="42" t="s">
        <v>223</v>
      </c>
      <c r="C50" s="42"/>
      <c r="D50" s="42"/>
      <c r="E50" s="24">
        <v>167</v>
      </c>
      <c r="F50" s="11">
        <v>167</v>
      </c>
      <c r="G50" s="52"/>
    </row>
    <row r="51" customFormat="1" ht="30" customHeight="1" spans="1:7">
      <c r="A51" s="6">
        <v>49</v>
      </c>
      <c r="B51" s="42" t="s">
        <v>225</v>
      </c>
      <c r="C51" s="42">
        <v>406</v>
      </c>
      <c r="D51" s="42">
        <v>6</v>
      </c>
      <c r="E51" s="24">
        <f>C51*D51</f>
        <v>2436</v>
      </c>
      <c r="F51" s="11">
        <v>2436</v>
      </c>
      <c r="G51" s="50" t="s">
        <v>226</v>
      </c>
    </row>
    <row r="52" customFormat="1" ht="30" customHeight="1" spans="1:7">
      <c r="A52" s="6">
        <v>50</v>
      </c>
      <c r="B52" s="42" t="s">
        <v>227</v>
      </c>
      <c r="C52" s="42">
        <v>404</v>
      </c>
      <c r="D52" s="42">
        <v>6</v>
      </c>
      <c r="E52" s="24">
        <f>C52*D52</f>
        <v>2424</v>
      </c>
      <c r="F52" s="11">
        <v>2424</v>
      </c>
      <c r="G52" s="52"/>
    </row>
    <row r="53" customFormat="1" ht="30" customHeight="1" spans="1:7">
      <c r="A53" s="6"/>
      <c r="B53" s="42"/>
      <c r="C53" s="42"/>
      <c r="D53" s="42"/>
      <c r="E53" s="24"/>
      <c r="F53" s="11"/>
      <c r="G53" s="52"/>
    </row>
    <row r="54" customFormat="1" ht="30" customHeight="1" spans="1:7">
      <c r="A54" s="6"/>
      <c r="B54" s="42"/>
      <c r="C54" s="42"/>
      <c r="D54" s="42"/>
      <c r="E54" s="24"/>
      <c r="F54" s="11"/>
      <c r="G54" s="12"/>
    </row>
    <row r="55" s="32" customFormat="1" ht="30" customHeight="1" spans="1:7">
      <c r="A55" s="6" t="s">
        <v>160</v>
      </c>
      <c r="B55" s="42"/>
      <c r="C55" s="6"/>
      <c r="D55" s="6"/>
      <c r="E55" s="14">
        <f>SUM(E3:E54)</f>
        <v>120392.24</v>
      </c>
      <c r="F55" s="6">
        <f>SUM(F3:F54)</f>
        <v>119865</v>
      </c>
      <c r="G55" s="12"/>
    </row>
    <row r="56" s="1" customFormat="1" ht="30" customHeight="1" spans="1:4">
      <c r="A56" s="13" t="s">
        <v>161</v>
      </c>
      <c r="B56" s="13"/>
      <c r="C56" s="13"/>
      <c r="D56" s="13"/>
    </row>
  </sheetData>
  <mergeCells count="11">
    <mergeCell ref="A1:G1"/>
    <mergeCell ref="F16:F17"/>
    <mergeCell ref="F18:F19"/>
    <mergeCell ref="G3:G6"/>
    <mergeCell ref="G7:G11"/>
    <mergeCell ref="G12:G15"/>
    <mergeCell ref="G17:G24"/>
    <mergeCell ref="G25:G42"/>
    <mergeCell ref="G43:G48"/>
    <mergeCell ref="G49:G50"/>
    <mergeCell ref="G51:G52"/>
  </mergeCells>
  <pageMargins left="0.699305555555556" right="0.69930555555555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3" sqref="A3:A4"/>
    </sheetView>
  </sheetViews>
  <sheetFormatPr defaultColWidth="8.75" defaultRowHeight="13.5" outlineLevelCol="6"/>
  <cols>
    <col min="1" max="1" width="6.625" style="33" customWidth="1"/>
    <col min="2" max="2" width="25.625" style="33" customWidth="1"/>
    <col min="3" max="4" width="10.625" style="33" customWidth="1"/>
    <col min="5" max="5" width="12.25" style="34" customWidth="1"/>
    <col min="6" max="6" width="12.875" style="33" customWidth="1"/>
    <col min="7" max="7" width="8.5" style="33" customWidth="1"/>
    <col min="8" max="16384" width="8.75" style="33"/>
  </cols>
  <sheetData>
    <row r="1" ht="60" customHeight="1" spans="1:7">
      <c r="A1" s="2" t="s">
        <v>270</v>
      </c>
      <c r="B1" s="2"/>
      <c r="C1" s="2"/>
      <c r="D1" s="2"/>
      <c r="E1" s="35"/>
      <c r="F1" s="2"/>
      <c r="G1" s="2"/>
    </row>
    <row r="2" ht="30" customHeight="1" spans="1:7">
      <c r="A2" s="3" t="s">
        <v>147</v>
      </c>
      <c r="B2" s="3" t="s">
        <v>148</v>
      </c>
      <c r="C2" s="3" t="s">
        <v>149</v>
      </c>
      <c r="D2" s="3" t="s">
        <v>150</v>
      </c>
      <c r="E2" s="36" t="s">
        <v>218</v>
      </c>
      <c r="F2" s="4" t="s">
        <v>219</v>
      </c>
      <c r="G2" s="5" t="s">
        <v>153</v>
      </c>
    </row>
    <row r="3" ht="39" customHeight="1" spans="1:7">
      <c r="A3" s="6">
        <v>1</v>
      </c>
      <c r="B3" s="42" t="s">
        <v>214</v>
      </c>
      <c r="C3" s="42"/>
      <c r="D3" s="42"/>
      <c r="E3" s="24">
        <v>2868</v>
      </c>
      <c r="F3" s="11">
        <v>2868</v>
      </c>
      <c r="G3" s="50" t="s">
        <v>215</v>
      </c>
    </row>
    <row r="4" ht="30" customHeight="1" spans="1:7">
      <c r="A4" s="6">
        <v>2</v>
      </c>
      <c r="B4" s="42" t="s">
        <v>216</v>
      </c>
      <c r="C4" s="42"/>
      <c r="D4" s="42"/>
      <c r="E4" s="24">
        <v>2180</v>
      </c>
      <c r="F4" s="11">
        <v>2180</v>
      </c>
      <c r="G4" s="52"/>
    </row>
    <row r="5" ht="30" customHeight="1" spans="1:7">
      <c r="A5" s="6"/>
      <c r="B5" s="6"/>
      <c r="C5" s="6"/>
      <c r="D5" s="6"/>
      <c r="E5" s="24"/>
      <c r="F5" s="11"/>
      <c r="G5" s="12"/>
    </row>
    <row r="6" ht="30" customHeight="1" spans="1:7">
      <c r="A6" s="6"/>
      <c r="B6" s="6"/>
      <c r="C6" s="6"/>
      <c r="D6" s="6"/>
      <c r="E6" s="24"/>
      <c r="F6" s="11"/>
      <c r="G6" s="12"/>
    </row>
    <row r="7" ht="30" customHeight="1" spans="1:7">
      <c r="A7" s="6"/>
      <c r="B7" s="6"/>
      <c r="C7" s="6"/>
      <c r="D7" s="6"/>
      <c r="E7" s="24"/>
      <c r="F7" s="11"/>
      <c r="G7" s="12"/>
    </row>
    <row r="8" ht="30" customHeight="1" spans="1:7">
      <c r="A8" s="6"/>
      <c r="B8" s="6"/>
      <c r="C8" s="6"/>
      <c r="D8" s="6"/>
      <c r="E8" s="24"/>
      <c r="F8" s="11"/>
      <c r="G8" s="12"/>
    </row>
    <row r="9" ht="30" customHeight="1" spans="1:7">
      <c r="A9" s="6"/>
      <c r="B9" s="6"/>
      <c r="C9" s="6"/>
      <c r="D9" s="6"/>
      <c r="E9" s="24"/>
      <c r="F9" s="11"/>
      <c r="G9" s="12"/>
    </row>
    <row r="10" ht="30" customHeight="1" spans="1:7">
      <c r="A10" s="6"/>
      <c r="B10" s="10"/>
      <c r="C10" s="6"/>
      <c r="D10" s="6"/>
      <c r="E10" s="24"/>
      <c r="F10" s="11"/>
      <c r="G10" s="12"/>
    </row>
    <row r="11" ht="30" customHeight="1" spans="1:7">
      <c r="A11" s="6"/>
      <c r="B11" s="6"/>
      <c r="C11" s="6"/>
      <c r="D11" s="6"/>
      <c r="E11" s="24"/>
      <c r="F11" s="11"/>
      <c r="G11" s="12"/>
    </row>
    <row r="12" ht="30" customHeight="1" spans="1:7">
      <c r="A12" s="6"/>
      <c r="B12" s="10"/>
      <c r="C12" s="6"/>
      <c r="D12" s="6"/>
      <c r="E12" s="24"/>
      <c r="F12" s="11"/>
      <c r="G12" s="12"/>
    </row>
    <row r="13" ht="30" customHeight="1" spans="1:7">
      <c r="A13" s="6"/>
      <c r="B13" s="6"/>
      <c r="C13" s="6"/>
      <c r="D13" s="6"/>
      <c r="E13" s="24"/>
      <c r="F13" s="11"/>
      <c r="G13" s="12"/>
    </row>
    <row r="14" ht="30" customHeight="1" spans="1:7">
      <c r="A14" s="6"/>
      <c r="B14" s="10"/>
      <c r="C14" s="10"/>
      <c r="D14" s="10"/>
      <c r="E14" s="24"/>
      <c r="F14" s="11"/>
      <c r="G14" s="12"/>
    </row>
    <row r="15" ht="30" customHeight="1" spans="1:7">
      <c r="A15" s="6"/>
      <c r="B15" s="42"/>
      <c r="C15" s="42"/>
      <c r="D15" s="42"/>
      <c r="E15" s="24"/>
      <c r="F15" s="11"/>
      <c r="G15" s="12"/>
    </row>
    <row r="16" ht="30" customHeight="1" spans="1:7">
      <c r="A16" s="6"/>
      <c r="B16" s="42"/>
      <c r="C16" s="42"/>
      <c r="D16" s="42"/>
      <c r="E16" s="24"/>
      <c r="F16" s="11"/>
      <c r="G16" s="12"/>
    </row>
    <row r="17" ht="30" customHeight="1" spans="1:7">
      <c r="A17" s="6"/>
      <c r="B17" s="42"/>
      <c r="C17" s="42"/>
      <c r="D17" s="42"/>
      <c r="E17" s="24"/>
      <c r="F17" s="11"/>
      <c r="G17" s="12"/>
    </row>
    <row r="18" ht="30" customHeight="1" spans="1:7">
      <c r="A18" s="6"/>
      <c r="B18" s="42"/>
      <c r="C18" s="42"/>
      <c r="D18" s="42"/>
      <c r="E18" s="24"/>
      <c r="F18" s="11"/>
      <c r="G18" s="12"/>
    </row>
    <row r="19" ht="30" customHeight="1" spans="1:7">
      <c r="A19" s="6"/>
      <c r="B19" s="42"/>
      <c r="C19" s="42"/>
      <c r="D19" s="42"/>
      <c r="E19" s="24"/>
      <c r="F19" s="11"/>
      <c r="G19" s="12"/>
    </row>
    <row r="20" ht="30" customHeight="1" spans="1:7">
      <c r="A20" s="6"/>
      <c r="B20" s="42"/>
      <c r="C20" s="42"/>
      <c r="D20" s="42"/>
      <c r="E20" s="24"/>
      <c r="F20" s="11"/>
      <c r="G20" s="12"/>
    </row>
    <row r="21" s="32" customFormat="1" ht="30" customHeight="1" spans="1:7">
      <c r="A21" s="6" t="s">
        <v>160</v>
      </c>
      <c r="B21" s="42"/>
      <c r="C21" s="6"/>
      <c r="D21" s="6"/>
      <c r="E21" s="14">
        <f>SUM(E3:E17)</f>
        <v>5048</v>
      </c>
      <c r="F21" s="6">
        <f>SUM(F3:F17)</f>
        <v>5048</v>
      </c>
      <c r="G21" s="12"/>
    </row>
    <row r="22" s="1" customFormat="1" ht="30" customHeight="1" spans="1:4">
      <c r="A22" s="13" t="s">
        <v>161</v>
      </c>
      <c r="B22" s="13"/>
      <c r="C22" s="13"/>
      <c r="D22" s="13"/>
    </row>
  </sheetData>
  <mergeCells count="2">
    <mergeCell ref="A1:G1"/>
    <mergeCell ref="G3:G4"/>
  </mergeCells>
  <pageMargins left="0.699305555555556" right="0.699305555555556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workbookViewId="0">
      <selection activeCell="D3" sqref="D3"/>
    </sheetView>
  </sheetViews>
  <sheetFormatPr defaultColWidth="8.75" defaultRowHeight="13.5" outlineLevelCol="7"/>
  <cols>
    <col min="1" max="1" width="6.625" style="33" customWidth="1"/>
    <col min="2" max="2" width="25.625" style="33" customWidth="1"/>
    <col min="3" max="4" width="10.625" style="33" customWidth="1"/>
    <col min="5" max="5" width="12.25" style="34" customWidth="1"/>
    <col min="6" max="6" width="12.875" style="33" customWidth="1"/>
    <col min="7" max="7" width="8.5" style="33" customWidth="1"/>
    <col min="8" max="16384" width="8.75" style="33"/>
  </cols>
  <sheetData>
    <row r="1" ht="60" customHeight="1" spans="1:7">
      <c r="A1" s="2" t="s">
        <v>271</v>
      </c>
      <c r="B1" s="2"/>
      <c r="C1" s="2"/>
      <c r="D1" s="2"/>
      <c r="E1" s="35"/>
      <c r="F1" s="2"/>
      <c r="G1" s="2"/>
    </row>
    <row r="2" ht="30" customHeight="1" spans="1:7">
      <c r="A2" s="3" t="s">
        <v>147</v>
      </c>
      <c r="B2" s="3" t="s">
        <v>148</v>
      </c>
      <c r="C2" s="3" t="s">
        <v>149</v>
      </c>
      <c r="D2" s="3" t="s">
        <v>150</v>
      </c>
      <c r="E2" s="36" t="s">
        <v>218</v>
      </c>
      <c r="F2" s="4" t="s">
        <v>219</v>
      </c>
      <c r="G2" s="5" t="s">
        <v>153</v>
      </c>
    </row>
    <row r="3" ht="39" customHeight="1" spans="1:7">
      <c r="A3" s="6">
        <v>1</v>
      </c>
      <c r="B3" s="43" t="s">
        <v>231</v>
      </c>
      <c r="C3" s="7">
        <v>6</v>
      </c>
      <c r="D3" s="7">
        <v>15</v>
      </c>
      <c r="E3" s="14">
        <f t="shared" ref="E3:E10" si="0">D3*C3</f>
        <v>90</v>
      </c>
      <c r="F3" s="14">
        <v>90</v>
      </c>
      <c r="G3" s="47" t="s">
        <v>232</v>
      </c>
    </row>
    <row r="4" ht="30" customHeight="1" spans="1:7">
      <c r="A4" s="6">
        <v>2</v>
      </c>
      <c r="B4" s="43" t="s">
        <v>233</v>
      </c>
      <c r="C4" s="6">
        <v>8</v>
      </c>
      <c r="D4" s="6">
        <v>15</v>
      </c>
      <c r="E4" s="14">
        <f t="shared" si="0"/>
        <v>120</v>
      </c>
      <c r="F4" s="11">
        <v>120</v>
      </c>
      <c r="G4" s="48"/>
    </row>
    <row r="5" ht="30" customHeight="1" spans="1:7">
      <c r="A5" s="6">
        <v>3</v>
      </c>
      <c r="B5" s="6" t="s">
        <v>234</v>
      </c>
      <c r="C5" s="6">
        <v>8</v>
      </c>
      <c r="D5" s="6">
        <v>15</v>
      </c>
      <c r="E5" s="14">
        <f t="shared" si="0"/>
        <v>120</v>
      </c>
      <c r="F5" s="11">
        <v>120</v>
      </c>
      <c r="G5" s="48"/>
    </row>
    <row r="6" ht="30" customHeight="1" spans="1:7">
      <c r="A6" s="6">
        <v>4</v>
      </c>
      <c r="B6" s="6" t="s">
        <v>235</v>
      </c>
      <c r="C6" s="6">
        <v>6</v>
      </c>
      <c r="D6" s="6">
        <v>15</v>
      </c>
      <c r="E6" s="14">
        <f t="shared" si="0"/>
        <v>90</v>
      </c>
      <c r="F6" s="11">
        <v>90</v>
      </c>
      <c r="G6" s="49"/>
    </row>
    <row r="7" ht="30" customHeight="1" spans="1:7">
      <c r="A7" s="6">
        <v>5</v>
      </c>
      <c r="B7" s="6" t="s">
        <v>220</v>
      </c>
      <c r="C7" s="6">
        <f>500-256</f>
        <v>244</v>
      </c>
      <c r="D7" s="6">
        <v>15</v>
      </c>
      <c r="E7" s="14">
        <f t="shared" si="0"/>
        <v>3660</v>
      </c>
      <c r="F7" s="11">
        <v>3564</v>
      </c>
      <c r="G7" s="50" t="s">
        <v>192</v>
      </c>
    </row>
    <row r="8" ht="30" customHeight="1" spans="1:7">
      <c r="A8" s="6">
        <v>6</v>
      </c>
      <c r="B8" s="6" t="s">
        <v>193</v>
      </c>
      <c r="C8" s="6">
        <v>820</v>
      </c>
      <c r="D8" s="6">
        <v>15</v>
      </c>
      <c r="E8" s="14">
        <f t="shared" si="0"/>
        <v>12300</v>
      </c>
      <c r="F8" s="11">
        <v>12273</v>
      </c>
      <c r="G8" s="51"/>
    </row>
    <row r="9" ht="30" customHeight="1" spans="1:7">
      <c r="A9" s="6">
        <v>7</v>
      </c>
      <c r="B9" s="6" t="s">
        <v>194</v>
      </c>
      <c r="C9" s="6">
        <f>505-256</f>
        <v>249</v>
      </c>
      <c r="D9" s="6">
        <v>15</v>
      </c>
      <c r="E9" s="14">
        <f t="shared" si="0"/>
        <v>3735</v>
      </c>
      <c r="F9" s="11">
        <v>3700</v>
      </c>
      <c r="G9" s="51"/>
    </row>
    <row r="10" ht="30" customHeight="1" spans="1:7">
      <c r="A10" s="6">
        <v>8</v>
      </c>
      <c r="B10" s="10" t="s">
        <v>195</v>
      </c>
      <c r="C10" s="6">
        <v>793</v>
      </c>
      <c r="D10" s="6">
        <v>15</v>
      </c>
      <c r="E10" s="14">
        <f t="shared" si="0"/>
        <v>11895</v>
      </c>
      <c r="F10" s="11">
        <v>11861</v>
      </c>
      <c r="G10" s="51"/>
    </row>
    <row r="11" ht="30" customHeight="1" spans="1:7">
      <c r="A11" s="6">
        <v>9</v>
      </c>
      <c r="B11" s="6" t="s">
        <v>196</v>
      </c>
      <c r="C11" s="6"/>
      <c r="D11" s="6"/>
      <c r="E11" s="14">
        <v>1690</v>
      </c>
      <c r="F11" s="11">
        <v>1690</v>
      </c>
      <c r="G11" s="52"/>
    </row>
    <row r="12" ht="30" customHeight="1" spans="1:8">
      <c r="A12" s="6">
        <v>10</v>
      </c>
      <c r="B12" s="10" t="s">
        <v>236</v>
      </c>
      <c r="C12" s="6">
        <v>1180</v>
      </c>
      <c r="D12" s="6">
        <v>11.5</v>
      </c>
      <c r="E12" s="24">
        <f t="shared" ref="E12:E18" si="1">C12*D12</f>
        <v>13570</v>
      </c>
      <c r="F12" s="11">
        <v>13570</v>
      </c>
      <c r="G12" s="50" t="s">
        <v>237</v>
      </c>
      <c r="H12" s="33" t="s">
        <v>238</v>
      </c>
    </row>
    <row r="13" ht="30" customHeight="1" spans="1:8">
      <c r="A13" s="6">
        <v>11</v>
      </c>
      <c r="B13" s="6" t="s">
        <v>239</v>
      </c>
      <c r="C13" s="6">
        <v>1211</v>
      </c>
      <c r="D13" s="6">
        <v>11.5</v>
      </c>
      <c r="E13" s="24">
        <f t="shared" si="1"/>
        <v>13926.5</v>
      </c>
      <c r="F13" s="11">
        <v>13927</v>
      </c>
      <c r="G13" s="51"/>
      <c r="H13" s="33" t="s">
        <v>240</v>
      </c>
    </row>
    <row r="14" ht="30" customHeight="1" spans="1:8">
      <c r="A14" s="6">
        <v>12</v>
      </c>
      <c r="B14" s="10" t="s">
        <v>241</v>
      </c>
      <c r="C14" s="10">
        <v>240</v>
      </c>
      <c r="D14" s="10">
        <v>15</v>
      </c>
      <c r="E14" s="24">
        <f t="shared" si="1"/>
        <v>3600</v>
      </c>
      <c r="F14" s="11">
        <v>3600</v>
      </c>
      <c r="G14" s="51"/>
      <c r="H14" s="33" t="s">
        <v>242</v>
      </c>
    </row>
    <row r="15" ht="30" customHeight="1" spans="1:8">
      <c r="A15" s="6">
        <v>13</v>
      </c>
      <c r="B15" s="42" t="s">
        <v>243</v>
      </c>
      <c r="C15" s="42">
        <v>240</v>
      </c>
      <c r="D15" s="42">
        <v>15</v>
      </c>
      <c r="E15" s="24">
        <f t="shared" si="1"/>
        <v>3600</v>
      </c>
      <c r="F15" s="11">
        <v>3600</v>
      </c>
      <c r="G15" s="52"/>
      <c r="H15" s="33" t="s">
        <v>244</v>
      </c>
    </row>
    <row r="16" ht="30" customHeight="1" spans="1:7">
      <c r="A16" s="6">
        <v>14</v>
      </c>
      <c r="B16" s="42" t="s">
        <v>245</v>
      </c>
      <c r="C16" s="42">
        <v>8</v>
      </c>
      <c r="D16" s="42">
        <v>15</v>
      </c>
      <c r="E16" s="24">
        <f t="shared" si="1"/>
        <v>120</v>
      </c>
      <c r="F16" s="53">
        <v>236</v>
      </c>
      <c r="G16" s="51"/>
    </row>
    <row r="17" ht="30" customHeight="1" spans="1:7">
      <c r="A17" s="6"/>
      <c r="B17" s="42" t="s">
        <v>246</v>
      </c>
      <c r="C17" s="42">
        <v>8</v>
      </c>
      <c r="D17" s="42">
        <v>17.15</v>
      </c>
      <c r="E17" s="24">
        <f t="shared" si="1"/>
        <v>137.2</v>
      </c>
      <c r="F17" s="54"/>
      <c r="G17" s="50" t="s">
        <v>247</v>
      </c>
    </row>
    <row r="18" ht="30" customHeight="1" spans="1:7">
      <c r="A18" s="6">
        <v>16</v>
      </c>
      <c r="B18" s="42" t="s">
        <v>248</v>
      </c>
      <c r="C18" s="42">
        <v>8</v>
      </c>
      <c r="D18" s="42">
        <v>19.94</v>
      </c>
      <c r="E18" s="24">
        <f t="shared" si="1"/>
        <v>159.52</v>
      </c>
      <c r="F18" s="53">
        <v>314</v>
      </c>
      <c r="G18" s="51"/>
    </row>
    <row r="19" ht="30" customHeight="1" spans="1:7">
      <c r="A19" s="6"/>
      <c r="B19" s="42" t="s">
        <v>248</v>
      </c>
      <c r="C19" s="42">
        <v>8</v>
      </c>
      <c r="D19" s="42">
        <v>19.785</v>
      </c>
      <c r="E19" s="24">
        <f t="shared" ref="E19:E24" si="2">C19*D19</f>
        <v>158.28</v>
      </c>
      <c r="F19" s="54"/>
      <c r="G19" s="51"/>
    </row>
    <row r="20" ht="30" customHeight="1" spans="1:7">
      <c r="A20" s="6">
        <v>18</v>
      </c>
      <c r="B20" s="42" t="s">
        <v>249</v>
      </c>
      <c r="C20" s="42">
        <v>8</v>
      </c>
      <c r="D20" s="42">
        <v>32</v>
      </c>
      <c r="E20" s="24">
        <f t="shared" si="2"/>
        <v>256</v>
      </c>
      <c r="F20" s="11">
        <v>236</v>
      </c>
      <c r="G20" s="51"/>
    </row>
    <row r="21" ht="30" customHeight="1" spans="1:7">
      <c r="A21" s="6">
        <v>19</v>
      </c>
      <c r="B21" s="42" t="s">
        <v>250</v>
      </c>
      <c r="C21" s="42">
        <v>6</v>
      </c>
      <c r="D21" s="42">
        <v>9</v>
      </c>
      <c r="E21" s="24">
        <f t="shared" si="2"/>
        <v>54</v>
      </c>
      <c r="F21" s="11">
        <v>54</v>
      </c>
      <c r="G21" s="51"/>
    </row>
    <row r="22" ht="30" customHeight="1" spans="1:7">
      <c r="A22" s="6">
        <v>20</v>
      </c>
      <c r="B22" s="42" t="s">
        <v>251</v>
      </c>
      <c r="C22" s="42">
        <v>6</v>
      </c>
      <c r="D22" s="42">
        <v>9</v>
      </c>
      <c r="E22" s="24">
        <f t="shared" si="2"/>
        <v>54</v>
      </c>
      <c r="F22" s="11">
        <v>54</v>
      </c>
      <c r="G22" s="51"/>
    </row>
    <row r="23" customFormat="1" ht="30" customHeight="1" spans="1:7">
      <c r="A23" s="6">
        <v>21</v>
      </c>
      <c r="B23" s="42" t="s">
        <v>252</v>
      </c>
      <c r="C23" s="42">
        <v>6</v>
      </c>
      <c r="D23" s="42">
        <v>9</v>
      </c>
      <c r="E23" s="24">
        <f t="shared" si="2"/>
        <v>54</v>
      </c>
      <c r="F23" s="11">
        <v>54</v>
      </c>
      <c r="G23" s="51"/>
    </row>
    <row r="24" customFormat="1" ht="30" customHeight="1" spans="1:7">
      <c r="A24" s="6">
        <v>22</v>
      </c>
      <c r="B24" s="42" t="s">
        <v>253</v>
      </c>
      <c r="C24" s="42">
        <v>6</v>
      </c>
      <c r="D24" s="42">
        <v>9</v>
      </c>
      <c r="E24" s="24">
        <f t="shared" si="2"/>
        <v>54</v>
      </c>
      <c r="F24" s="11">
        <v>54</v>
      </c>
      <c r="G24" s="52"/>
    </row>
    <row r="25" customFormat="1" ht="30" customHeight="1" spans="1:8">
      <c r="A25" s="6">
        <v>23</v>
      </c>
      <c r="B25" s="42" t="s">
        <v>197</v>
      </c>
      <c r="C25" s="42">
        <v>29</v>
      </c>
      <c r="D25" s="42">
        <v>14.75</v>
      </c>
      <c r="E25" s="24">
        <f t="shared" ref="E25:E31" si="3">C25*D25</f>
        <v>427.75</v>
      </c>
      <c r="F25" s="11">
        <v>429</v>
      </c>
      <c r="G25" s="50" t="s">
        <v>155</v>
      </c>
      <c r="H25" t="s">
        <v>198</v>
      </c>
    </row>
    <row r="26" customFormat="1" ht="30" customHeight="1" spans="1:8">
      <c r="A26" s="6">
        <v>24</v>
      </c>
      <c r="B26" s="42" t="s">
        <v>199</v>
      </c>
      <c r="C26" s="42">
        <v>88.5</v>
      </c>
      <c r="D26" s="42"/>
      <c r="E26" s="24">
        <v>2174</v>
      </c>
      <c r="F26" s="11">
        <v>2174</v>
      </c>
      <c r="G26" s="51"/>
      <c r="H26" t="s">
        <v>198</v>
      </c>
    </row>
    <row r="27" customFormat="1" ht="30" customHeight="1" spans="1:8">
      <c r="A27" s="6">
        <v>25</v>
      </c>
      <c r="B27" s="42" t="s">
        <v>200</v>
      </c>
      <c r="C27" s="42">
        <v>79.3</v>
      </c>
      <c r="D27" s="42"/>
      <c r="E27" s="24">
        <v>2084</v>
      </c>
      <c r="F27" s="11">
        <v>2084</v>
      </c>
      <c r="G27" s="51"/>
      <c r="H27" t="s">
        <v>201</v>
      </c>
    </row>
    <row r="28" customFormat="1" ht="30" customHeight="1" spans="1:8">
      <c r="A28" s="6">
        <v>26</v>
      </c>
      <c r="B28" s="42" t="s">
        <v>202</v>
      </c>
      <c r="C28" s="42">
        <v>65.5</v>
      </c>
      <c r="D28" s="42">
        <v>14.75</v>
      </c>
      <c r="E28" s="24">
        <f t="shared" si="3"/>
        <v>966.125</v>
      </c>
      <c r="F28" s="11">
        <v>969</v>
      </c>
      <c r="G28" s="51"/>
      <c r="H28" t="s">
        <v>198</v>
      </c>
    </row>
    <row r="29" customFormat="1" ht="30" customHeight="1" spans="1:8">
      <c r="A29" s="6">
        <v>27</v>
      </c>
      <c r="B29" s="42" t="s">
        <v>203</v>
      </c>
      <c r="C29" s="42">
        <v>74.7</v>
      </c>
      <c r="D29" s="42">
        <v>14.75</v>
      </c>
      <c r="E29" s="24">
        <f t="shared" si="3"/>
        <v>1101.825</v>
      </c>
      <c r="F29" s="11">
        <v>1104</v>
      </c>
      <c r="G29" s="51"/>
      <c r="H29" t="s">
        <v>201</v>
      </c>
    </row>
    <row r="30" customFormat="1" ht="30" customHeight="1" spans="1:8">
      <c r="A30" s="6">
        <v>28</v>
      </c>
      <c r="B30" s="42" t="s">
        <v>154</v>
      </c>
      <c r="C30" s="42">
        <v>170.6</v>
      </c>
      <c r="D30" s="42">
        <v>29.5</v>
      </c>
      <c r="E30" s="24">
        <f t="shared" si="3"/>
        <v>5032.7</v>
      </c>
      <c r="F30" s="11">
        <v>5040</v>
      </c>
      <c r="G30" s="51"/>
      <c r="H30" t="s">
        <v>204</v>
      </c>
    </row>
    <row r="31" customFormat="1" ht="30" customHeight="1" spans="1:8">
      <c r="A31" s="6">
        <v>29</v>
      </c>
      <c r="B31" s="42" t="s">
        <v>205</v>
      </c>
      <c r="C31" s="42">
        <v>29</v>
      </c>
      <c r="D31" s="42">
        <v>14.75</v>
      </c>
      <c r="E31" s="24">
        <f t="shared" si="3"/>
        <v>427.75</v>
      </c>
      <c r="F31" s="11">
        <v>429</v>
      </c>
      <c r="G31" s="51"/>
      <c r="H31" t="s">
        <v>201</v>
      </c>
    </row>
    <row r="32" customFormat="1" ht="30" customHeight="1" spans="1:7">
      <c r="A32" s="6">
        <v>30</v>
      </c>
      <c r="B32" s="42" t="s">
        <v>206</v>
      </c>
      <c r="C32" s="42">
        <v>73.9</v>
      </c>
      <c r="D32" s="42"/>
      <c r="E32" s="24">
        <v>569</v>
      </c>
      <c r="F32" s="11">
        <v>569</v>
      </c>
      <c r="G32" s="51"/>
    </row>
    <row r="33" customFormat="1" ht="30" customHeight="1" spans="1:7">
      <c r="A33" s="6">
        <v>31</v>
      </c>
      <c r="B33" s="42" t="s">
        <v>156</v>
      </c>
      <c r="C33" s="42">
        <v>36.1</v>
      </c>
      <c r="D33" s="42"/>
      <c r="E33" s="24">
        <v>310</v>
      </c>
      <c r="F33" s="11">
        <v>310</v>
      </c>
      <c r="G33" s="51"/>
    </row>
    <row r="34" customFormat="1" ht="30" customHeight="1" spans="1:7">
      <c r="A34" s="6">
        <v>32</v>
      </c>
      <c r="B34" s="42" t="s">
        <v>158</v>
      </c>
      <c r="C34" s="42">
        <v>125.9</v>
      </c>
      <c r="D34" s="42">
        <v>9</v>
      </c>
      <c r="E34" s="24">
        <f t="shared" ref="E32:E40" si="4">C34*D34</f>
        <v>1133.1</v>
      </c>
      <c r="F34" s="11">
        <v>1139</v>
      </c>
      <c r="G34" s="51"/>
    </row>
    <row r="35" customFormat="1" ht="30" customHeight="1" spans="1:7">
      <c r="A35" s="6">
        <v>33</v>
      </c>
      <c r="B35" s="42" t="s">
        <v>207</v>
      </c>
      <c r="C35" s="42">
        <v>25.4</v>
      </c>
      <c r="D35" s="42">
        <v>9</v>
      </c>
      <c r="E35" s="24">
        <f t="shared" si="4"/>
        <v>228.6</v>
      </c>
      <c r="F35" s="11">
        <v>230</v>
      </c>
      <c r="G35" s="51"/>
    </row>
    <row r="36" customFormat="1" ht="30" customHeight="1" spans="1:7">
      <c r="A36" s="6">
        <v>34</v>
      </c>
      <c r="B36" s="42" t="s">
        <v>208</v>
      </c>
      <c r="C36" s="42">
        <v>50</v>
      </c>
      <c r="D36" s="42">
        <v>9</v>
      </c>
      <c r="E36" s="24">
        <f t="shared" si="4"/>
        <v>450</v>
      </c>
      <c r="F36" s="11">
        <v>452</v>
      </c>
      <c r="G36" s="51"/>
    </row>
    <row r="37" customFormat="1" ht="30" customHeight="1" spans="1:7">
      <c r="A37" s="6">
        <v>35</v>
      </c>
      <c r="B37" s="42" t="s">
        <v>159</v>
      </c>
      <c r="C37" s="42">
        <v>208.4</v>
      </c>
      <c r="D37" s="42">
        <v>9</v>
      </c>
      <c r="E37" s="24">
        <f t="shared" si="4"/>
        <v>1875.6</v>
      </c>
      <c r="F37" s="11">
        <v>1884</v>
      </c>
      <c r="G37" s="51"/>
    </row>
    <row r="38" customFormat="1" ht="30" customHeight="1" spans="1:7">
      <c r="A38" s="6">
        <v>36</v>
      </c>
      <c r="B38" s="42" t="s">
        <v>209</v>
      </c>
      <c r="C38" s="42">
        <v>60</v>
      </c>
      <c r="D38" s="42"/>
      <c r="E38" s="24">
        <v>664</v>
      </c>
      <c r="F38" s="11">
        <v>664</v>
      </c>
      <c r="G38" s="51"/>
    </row>
    <row r="39" customFormat="1" ht="30" customHeight="1" spans="1:7">
      <c r="A39" s="6">
        <v>37</v>
      </c>
      <c r="B39" s="42" t="s">
        <v>210</v>
      </c>
      <c r="C39" s="42">
        <v>227.6</v>
      </c>
      <c r="D39" s="42">
        <v>9</v>
      </c>
      <c r="E39" s="24">
        <f t="shared" si="4"/>
        <v>2048.4</v>
      </c>
      <c r="F39" s="11">
        <v>2057</v>
      </c>
      <c r="G39" s="51"/>
    </row>
    <row r="40" customFormat="1" ht="30" customHeight="1" spans="1:7">
      <c r="A40" s="6">
        <v>38</v>
      </c>
      <c r="B40" s="42" t="s">
        <v>211</v>
      </c>
      <c r="C40" s="42">
        <v>213.8</v>
      </c>
      <c r="D40" s="42">
        <v>9</v>
      </c>
      <c r="E40" s="24">
        <f t="shared" si="4"/>
        <v>1924.2</v>
      </c>
      <c r="F40" s="11">
        <v>1933</v>
      </c>
      <c r="G40" s="51"/>
    </row>
    <row r="41" customFormat="1" ht="30" customHeight="1" spans="1:7">
      <c r="A41" s="6">
        <v>39</v>
      </c>
      <c r="B41" s="42" t="s">
        <v>212</v>
      </c>
      <c r="C41" s="42"/>
      <c r="D41" s="42"/>
      <c r="E41" s="24">
        <v>1749</v>
      </c>
      <c r="F41" s="11">
        <v>1749</v>
      </c>
      <c r="G41" s="51"/>
    </row>
    <row r="42" customFormat="1" ht="30" customHeight="1" spans="1:7">
      <c r="A42" s="6">
        <v>40</v>
      </c>
      <c r="B42" s="42" t="s">
        <v>213</v>
      </c>
      <c r="C42" s="42"/>
      <c r="D42" s="42"/>
      <c r="E42" s="24">
        <v>1488</v>
      </c>
      <c r="F42" s="11">
        <v>1488</v>
      </c>
      <c r="G42" s="52"/>
    </row>
    <row r="43" customFormat="1" ht="30" customHeight="1" spans="1:8">
      <c r="A43" s="6">
        <v>41</v>
      </c>
      <c r="B43" s="42" t="s">
        <v>254</v>
      </c>
      <c r="C43" s="42">
        <v>240</v>
      </c>
      <c r="D43" s="42"/>
      <c r="E43" s="24">
        <v>4192.98</v>
      </c>
      <c r="F43" s="11">
        <v>4130</v>
      </c>
      <c r="G43" s="50" t="s">
        <v>155</v>
      </c>
      <c r="H43" t="s">
        <v>255</v>
      </c>
    </row>
    <row r="44" customFormat="1" ht="30" customHeight="1" spans="1:8">
      <c r="A44" s="6">
        <v>42</v>
      </c>
      <c r="B44" s="42" t="s">
        <v>256</v>
      </c>
      <c r="C44" s="42">
        <v>240</v>
      </c>
      <c r="D44" s="42"/>
      <c r="E44" s="24">
        <v>4500.3</v>
      </c>
      <c r="F44" s="11">
        <v>4436</v>
      </c>
      <c r="G44" s="51"/>
      <c r="H44" t="s">
        <v>257</v>
      </c>
    </row>
    <row r="45" customFormat="1" ht="30" customHeight="1" spans="1:8">
      <c r="A45" s="6">
        <v>43</v>
      </c>
      <c r="B45" s="42" t="s">
        <v>258</v>
      </c>
      <c r="C45" s="42">
        <v>390</v>
      </c>
      <c r="D45" s="42">
        <v>15</v>
      </c>
      <c r="E45" s="24">
        <f>C45*D45</f>
        <v>5850</v>
      </c>
      <c r="F45" s="11">
        <v>5753</v>
      </c>
      <c r="G45" s="51"/>
      <c r="H45" t="s">
        <v>259</v>
      </c>
    </row>
    <row r="46" customFormat="1" ht="30" customHeight="1" spans="1:8">
      <c r="A46" s="6">
        <v>44</v>
      </c>
      <c r="B46" s="42" t="s">
        <v>258</v>
      </c>
      <c r="C46" s="42">
        <v>390</v>
      </c>
      <c r="D46" s="42">
        <v>15</v>
      </c>
      <c r="E46" s="24">
        <f>C46*D46</f>
        <v>5850</v>
      </c>
      <c r="F46" s="11">
        <v>5753</v>
      </c>
      <c r="G46" s="51"/>
      <c r="H46" t="s">
        <v>260</v>
      </c>
    </row>
    <row r="47" customFormat="1" ht="30" customHeight="1" spans="1:8">
      <c r="A47" s="6">
        <v>45</v>
      </c>
      <c r="B47" s="42" t="s">
        <v>261</v>
      </c>
      <c r="C47" s="42">
        <v>20</v>
      </c>
      <c r="D47" s="42">
        <v>9</v>
      </c>
      <c r="E47" s="24">
        <f>C47*D47</f>
        <v>180</v>
      </c>
      <c r="F47" s="11">
        <v>180</v>
      </c>
      <c r="G47" s="51"/>
      <c r="H47" t="s">
        <v>262</v>
      </c>
    </row>
    <row r="48" customFormat="1" ht="30" customHeight="1" spans="1:8">
      <c r="A48" s="6">
        <v>46</v>
      </c>
      <c r="B48" s="42" t="s">
        <v>263</v>
      </c>
      <c r="C48" s="42">
        <v>20</v>
      </c>
      <c r="D48" s="42">
        <v>9</v>
      </c>
      <c r="E48" s="24">
        <f>C48*D48</f>
        <v>180</v>
      </c>
      <c r="F48" s="11">
        <v>180</v>
      </c>
      <c r="G48" s="52"/>
      <c r="H48" t="s">
        <v>264</v>
      </c>
    </row>
    <row r="49" customFormat="1" ht="30" customHeight="1" spans="1:7">
      <c r="A49" s="6">
        <v>47</v>
      </c>
      <c r="B49" s="42" t="s">
        <v>221</v>
      </c>
      <c r="C49" s="42"/>
      <c r="D49" s="42"/>
      <c r="E49" s="24">
        <v>108</v>
      </c>
      <c r="F49" s="11">
        <v>108</v>
      </c>
      <c r="G49" s="50" t="s">
        <v>222</v>
      </c>
    </row>
    <row r="50" customFormat="1" ht="30" customHeight="1" spans="1:7">
      <c r="A50" s="6">
        <v>48</v>
      </c>
      <c r="B50" s="42" t="s">
        <v>223</v>
      </c>
      <c r="C50" s="42"/>
      <c r="D50" s="42"/>
      <c r="E50" s="24">
        <v>167</v>
      </c>
      <c r="F50" s="11">
        <v>167</v>
      </c>
      <c r="G50" s="52"/>
    </row>
    <row r="51" customFormat="1" ht="30" customHeight="1" spans="1:7">
      <c r="A51" s="6">
        <v>49</v>
      </c>
      <c r="B51" s="42" t="s">
        <v>214</v>
      </c>
      <c r="C51" s="42"/>
      <c r="D51" s="42"/>
      <c r="E51" s="24">
        <v>2868</v>
      </c>
      <c r="F51" s="11">
        <v>2868</v>
      </c>
      <c r="G51" s="50" t="s">
        <v>215</v>
      </c>
    </row>
    <row r="52" customFormat="1" ht="30" customHeight="1" spans="1:7">
      <c r="A52" s="6">
        <v>50</v>
      </c>
      <c r="B52" s="42" t="s">
        <v>216</v>
      </c>
      <c r="C52" s="42"/>
      <c r="D52" s="42"/>
      <c r="E52" s="24">
        <v>2180</v>
      </c>
      <c r="F52" s="11">
        <v>2180</v>
      </c>
      <c r="G52" s="52"/>
    </row>
    <row r="53" customFormat="1" ht="30" customHeight="1" spans="1:7">
      <c r="A53" s="6">
        <v>51</v>
      </c>
      <c r="B53" s="42" t="s">
        <v>225</v>
      </c>
      <c r="C53" s="42">
        <v>406</v>
      </c>
      <c r="D53" s="42">
        <v>6</v>
      </c>
      <c r="E53" s="24">
        <f>C53*D53</f>
        <v>2436</v>
      </c>
      <c r="F53" s="11">
        <v>2436</v>
      </c>
      <c r="G53" s="50" t="s">
        <v>226</v>
      </c>
    </row>
    <row r="54" customFormat="1" ht="30" customHeight="1" spans="1:7">
      <c r="A54" s="6">
        <v>52</v>
      </c>
      <c r="B54" s="42" t="s">
        <v>227</v>
      </c>
      <c r="C54" s="42">
        <v>404</v>
      </c>
      <c r="D54" s="42">
        <v>6</v>
      </c>
      <c r="E54" s="24">
        <f>C54*D54</f>
        <v>2424</v>
      </c>
      <c r="F54" s="11">
        <v>2424</v>
      </c>
      <c r="G54" s="52"/>
    </row>
    <row r="55" customFormat="1" ht="30" customHeight="1" spans="1:7">
      <c r="A55" s="6"/>
      <c r="B55" s="42"/>
      <c r="C55" s="42"/>
      <c r="D55" s="42"/>
      <c r="E55" s="24"/>
      <c r="F55" s="11"/>
      <c r="G55" s="52"/>
    </row>
    <row r="56" customFormat="1" ht="30" customHeight="1" spans="1:7">
      <c r="A56" s="6"/>
      <c r="B56" s="42"/>
      <c r="C56" s="42"/>
      <c r="D56" s="42"/>
      <c r="E56" s="24"/>
      <c r="F56" s="11"/>
      <c r="G56" s="12"/>
    </row>
    <row r="57" s="32" customFormat="1" ht="30" customHeight="1" spans="1:7">
      <c r="A57" s="6" t="s">
        <v>160</v>
      </c>
      <c r="B57" s="42"/>
      <c r="C57" s="6"/>
      <c r="D57" s="6"/>
      <c r="E57" s="14">
        <f>SUM(E3:E56)</f>
        <v>125033.83</v>
      </c>
      <c r="F57" s="6">
        <f>SUM(F3:F56)</f>
        <v>124526</v>
      </c>
      <c r="G57" s="12"/>
    </row>
    <row r="58" s="1" customFormat="1" ht="30" customHeight="1" spans="1:4">
      <c r="A58" s="13" t="s">
        <v>161</v>
      </c>
      <c r="B58" s="13"/>
      <c r="C58" s="13"/>
      <c r="D58" s="13"/>
    </row>
  </sheetData>
  <mergeCells count="12">
    <mergeCell ref="A1:G1"/>
    <mergeCell ref="F16:F17"/>
    <mergeCell ref="F18:F19"/>
    <mergeCell ref="G3:G6"/>
    <mergeCell ref="G7:G11"/>
    <mergeCell ref="G12:G15"/>
    <mergeCell ref="G17:G24"/>
    <mergeCell ref="G25:G42"/>
    <mergeCell ref="G43:G48"/>
    <mergeCell ref="G49:G50"/>
    <mergeCell ref="G51:G52"/>
    <mergeCell ref="G53:G54"/>
  </mergeCells>
  <pageMargins left="0.699305555555556" right="0.699305555555556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G6" sqref="G6"/>
    </sheetView>
  </sheetViews>
  <sheetFormatPr defaultColWidth="8.75" defaultRowHeight="13.5"/>
  <cols>
    <col min="1" max="1" width="6.625" style="33" customWidth="1"/>
    <col min="2" max="2" width="25.625" style="33" customWidth="1"/>
    <col min="3" max="5" width="10.625" style="33" customWidth="1"/>
    <col min="6" max="6" width="12.25" style="34" customWidth="1"/>
    <col min="7" max="7" width="12.875" style="33" customWidth="1"/>
    <col min="8" max="8" width="8.5" style="33" customWidth="1"/>
    <col min="9" max="16384" width="8.75" style="33"/>
  </cols>
  <sheetData>
    <row r="1" ht="60" customHeight="1" spans="1:8">
      <c r="A1" s="2" t="s">
        <v>272</v>
      </c>
      <c r="B1" s="2"/>
      <c r="C1" s="2"/>
      <c r="D1" s="2"/>
      <c r="E1" s="2"/>
      <c r="F1" s="35"/>
      <c r="G1" s="2"/>
      <c r="H1" s="2"/>
    </row>
    <row r="2" ht="30" customHeight="1" spans="1:8">
      <c r="A2" s="3" t="s">
        <v>147</v>
      </c>
      <c r="B2" s="3" t="s">
        <v>148</v>
      </c>
      <c r="C2" s="3" t="s">
        <v>149</v>
      </c>
      <c r="D2" s="3" t="s">
        <v>150</v>
      </c>
      <c r="E2" s="3" t="s">
        <v>273</v>
      </c>
      <c r="F2" s="36" t="s">
        <v>274</v>
      </c>
      <c r="G2" s="4" t="s">
        <v>275</v>
      </c>
      <c r="H2" s="5" t="s">
        <v>153</v>
      </c>
    </row>
    <row r="3" ht="39" customHeight="1" spans="1:8">
      <c r="A3" s="6">
        <v>1</v>
      </c>
      <c r="B3" s="43" t="s">
        <v>276</v>
      </c>
      <c r="C3" s="44">
        <v>111</v>
      </c>
      <c r="D3" s="45">
        <v>6</v>
      </c>
      <c r="E3" s="45">
        <v>0.18</v>
      </c>
      <c r="F3" s="24">
        <f>D3*C3*E3</f>
        <v>119.88</v>
      </c>
      <c r="G3" s="24">
        <v>119.88</v>
      </c>
      <c r="H3" s="46" t="s">
        <v>226</v>
      </c>
    </row>
    <row r="4" ht="30" customHeight="1" spans="1:8">
      <c r="A4" s="6">
        <v>2</v>
      </c>
      <c r="B4" s="6" t="s">
        <v>277</v>
      </c>
      <c r="C4" s="6">
        <v>180</v>
      </c>
      <c r="D4" s="6">
        <v>7</v>
      </c>
      <c r="E4" s="6">
        <v>0.18</v>
      </c>
      <c r="F4" s="24">
        <f>D4*C4*E4</f>
        <v>226.8</v>
      </c>
      <c r="G4" s="24">
        <v>226.8</v>
      </c>
      <c r="H4" s="12"/>
    </row>
    <row r="5" ht="30" customHeight="1" spans="1:10">
      <c r="A5" s="6">
        <v>3</v>
      </c>
      <c r="B5" s="6" t="s">
        <v>278</v>
      </c>
      <c r="C5" s="6">
        <v>240</v>
      </c>
      <c r="D5" s="6">
        <v>7</v>
      </c>
      <c r="E5" s="6">
        <v>0.18</v>
      </c>
      <c r="F5" s="24">
        <f>D5*C5*E5</f>
        <v>302.4</v>
      </c>
      <c r="G5" s="24">
        <v>302.4</v>
      </c>
      <c r="H5" s="12"/>
      <c r="J5" s="40"/>
    </row>
    <row r="6" ht="30" customHeight="1" spans="1:8">
      <c r="A6" s="6"/>
      <c r="B6" s="6"/>
      <c r="C6" s="6"/>
      <c r="D6" s="6"/>
      <c r="E6" s="6"/>
      <c r="F6" s="24"/>
      <c r="G6" s="11"/>
      <c r="H6" s="12"/>
    </row>
    <row r="7" ht="30" customHeight="1" spans="1:8">
      <c r="A7" s="6"/>
      <c r="B7" s="6"/>
      <c r="C7" s="6"/>
      <c r="D7" s="6"/>
      <c r="E7" s="6"/>
      <c r="F7" s="24"/>
      <c r="G7" s="11"/>
      <c r="H7" s="12"/>
    </row>
    <row r="8" ht="30" customHeight="1" spans="1:8">
      <c r="A8" s="6"/>
      <c r="B8" s="6"/>
      <c r="C8" s="6"/>
      <c r="D8" s="6"/>
      <c r="E8" s="6"/>
      <c r="F8" s="24"/>
      <c r="G8" s="11"/>
      <c r="H8" s="12"/>
    </row>
    <row r="9" ht="30" customHeight="1" spans="1:8">
      <c r="A9" s="6"/>
      <c r="B9" s="6"/>
      <c r="C9" s="6"/>
      <c r="D9" s="6"/>
      <c r="E9" s="6"/>
      <c r="F9" s="24"/>
      <c r="G9" s="11"/>
      <c r="H9" s="12"/>
    </row>
    <row r="10" ht="30" customHeight="1" spans="1:8">
      <c r="A10" s="6"/>
      <c r="B10" s="10"/>
      <c r="C10" s="6"/>
      <c r="D10" s="6"/>
      <c r="E10" s="6"/>
      <c r="F10" s="24"/>
      <c r="G10" s="11"/>
      <c r="H10" s="12"/>
    </row>
    <row r="11" ht="30" customHeight="1" spans="1:8">
      <c r="A11" s="6"/>
      <c r="B11" s="6"/>
      <c r="C11" s="6"/>
      <c r="D11" s="6"/>
      <c r="E11" s="6"/>
      <c r="F11" s="24"/>
      <c r="G11" s="11"/>
      <c r="H11" s="12"/>
    </row>
    <row r="12" ht="30" customHeight="1" spans="1:8">
      <c r="A12" s="6"/>
      <c r="B12" s="10"/>
      <c r="C12" s="6"/>
      <c r="D12" s="6"/>
      <c r="E12" s="6"/>
      <c r="F12" s="24"/>
      <c r="G12" s="11"/>
      <c r="H12" s="12"/>
    </row>
    <row r="13" ht="30" customHeight="1" spans="1:8">
      <c r="A13" s="6"/>
      <c r="B13" s="6"/>
      <c r="C13" s="6"/>
      <c r="D13" s="6"/>
      <c r="E13" s="6"/>
      <c r="F13" s="24"/>
      <c r="G13" s="11"/>
      <c r="H13" s="12"/>
    </row>
    <row r="14" ht="30" customHeight="1" spans="1:8">
      <c r="A14" s="6"/>
      <c r="B14" s="10"/>
      <c r="C14" s="10"/>
      <c r="D14" s="10"/>
      <c r="E14" s="10"/>
      <c r="F14" s="24"/>
      <c r="G14" s="11"/>
      <c r="H14" s="12"/>
    </row>
    <row r="15" ht="30" customHeight="1" spans="1:8">
      <c r="A15" s="6"/>
      <c r="B15" s="42"/>
      <c r="C15" s="42"/>
      <c r="D15" s="42"/>
      <c r="E15" s="42"/>
      <c r="F15" s="24"/>
      <c r="G15" s="11"/>
      <c r="H15" s="12"/>
    </row>
    <row r="16" ht="30" customHeight="1" spans="1:8">
      <c r="A16" s="6"/>
      <c r="B16" s="42"/>
      <c r="C16" s="42"/>
      <c r="D16" s="42"/>
      <c r="E16" s="42"/>
      <c r="F16" s="24"/>
      <c r="G16" s="11"/>
      <c r="H16" s="12"/>
    </row>
    <row r="17" ht="30" customHeight="1" spans="1:8">
      <c r="A17" s="6"/>
      <c r="B17" s="42"/>
      <c r="C17" s="42"/>
      <c r="D17" s="42"/>
      <c r="E17" s="42"/>
      <c r="F17" s="24"/>
      <c r="G17" s="11"/>
      <c r="H17" s="12"/>
    </row>
    <row r="18" ht="30" customHeight="1" spans="1:8">
      <c r="A18" s="6"/>
      <c r="B18" s="42"/>
      <c r="C18" s="42"/>
      <c r="D18" s="42"/>
      <c r="E18" s="42"/>
      <c r="F18" s="24"/>
      <c r="G18" s="11"/>
      <c r="H18" s="12"/>
    </row>
    <row r="19" ht="30" customHeight="1" spans="1:8">
      <c r="A19" s="6"/>
      <c r="B19" s="42"/>
      <c r="C19" s="42"/>
      <c r="D19" s="42"/>
      <c r="E19" s="42"/>
      <c r="F19" s="24"/>
      <c r="G19" s="11"/>
      <c r="H19" s="12"/>
    </row>
    <row r="20" ht="30" customHeight="1" spans="1:8">
      <c r="A20" s="6"/>
      <c r="B20" s="42"/>
      <c r="C20" s="42"/>
      <c r="D20" s="42"/>
      <c r="E20" s="42"/>
      <c r="F20" s="24"/>
      <c r="G20" s="11"/>
      <c r="H20" s="12"/>
    </row>
    <row r="21" s="32" customFormat="1" ht="30" customHeight="1" spans="1:8">
      <c r="A21" s="6" t="s">
        <v>160</v>
      </c>
      <c r="B21" s="42"/>
      <c r="C21" s="6"/>
      <c r="D21" s="6"/>
      <c r="E21" s="6"/>
      <c r="F21" s="6">
        <f>SUM(F3:F17)</f>
        <v>649.08</v>
      </c>
      <c r="G21" s="6">
        <f>SUM(G3:G17)</f>
        <v>649.08</v>
      </c>
      <c r="H21" s="12"/>
    </row>
    <row r="22" s="1" customFormat="1" ht="30" customHeight="1" spans="1:5">
      <c r="A22" s="13" t="s">
        <v>161</v>
      </c>
      <c r="B22" s="13"/>
      <c r="C22" s="13"/>
      <c r="D22" s="13"/>
      <c r="E22" s="23"/>
    </row>
  </sheetData>
  <mergeCells count="1">
    <mergeCell ref="A1:H1"/>
  </mergeCells>
  <pageMargins left="0.699305555555556" right="0.699305555555556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3" sqref="A3:A13"/>
    </sheetView>
  </sheetViews>
  <sheetFormatPr defaultColWidth="8.75" defaultRowHeight="13.5" outlineLevelCol="7"/>
  <cols>
    <col min="1" max="1" width="6.625" style="33" customWidth="1"/>
    <col min="2" max="2" width="25.625" style="33" customWidth="1"/>
    <col min="3" max="3" width="32" style="33" customWidth="1"/>
    <col min="4" max="4" width="12.25" style="34" customWidth="1"/>
    <col min="5" max="5" width="12.875" style="33" customWidth="1"/>
    <col min="6" max="6" width="8.5" style="33" customWidth="1"/>
    <col min="7" max="16384" width="8.75" style="33"/>
  </cols>
  <sheetData>
    <row r="1" ht="60" customHeight="1" spans="1:6">
      <c r="A1" s="2" t="s">
        <v>279</v>
      </c>
      <c r="B1" s="2"/>
      <c r="C1" s="2"/>
      <c r="D1" s="35"/>
      <c r="E1" s="2"/>
      <c r="F1" s="2"/>
    </row>
    <row r="2" ht="30" customHeight="1" spans="1:6">
      <c r="A2" s="3" t="s">
        <v>147</v>
      </c>
      <c r="B2" s="3" t="s">
        <v>148</v>
      </c>
      <c r="C2" s="16" t="s">
        <v>163</v>
      </c>
      <c r="D2" s="36" t="s">
        <v>274</v>
      </c>
      <c r="E2" s="4" t="s">
        <v>275</v>
      </c>
      <c r="F2" s="5" t="s">
        <v>153</v>
      </c>
    </row>
    <row r="3" ht="39" customHeight="1" spans="1:6">
      <c r="A3" s="37">
        <v>1</v>
      </c>
      <c r="B3" s="38" t="s">
        <v>164</v>
      </c>
      <c r="C3" s="38" t="s">
        <v>280</v>
      </c>
      <c r="D3" s="14">
        <v>16.8</v>
      </c>
      <c r="E3" s="14">
        <v>16.8</v>
      </c>
      <c r="F3" s="39" t="s">
        <v>166</v>
      </c>
    </row>
    <row r="4" ht="30" customHeight="1" spans="1:6">
      <c r="A4" s="37">
        <v>2</v>
      </c>
      <c r="B4" s="38" t="s">
        <v>164</v>
      </c>
      <c r="C4" s="38" t="s">
        <v>281</v>
      </c>
      <c r="D4" s="24">
        <v>20.8</v>
      </c>
      <c r="E4" s="24">
        <v>20.8</v>
      </c>
      <c r="F4" s="39" t="s">
        <v>166</v>
      </c>
    </row>
    <row r="5" ht="30" customHeight="1" spans="1:8">
      <c r="A5" s="37">
        <v>3</v>
      </c>
      <c r="B5" s="38" t="s">
        <v>168</v>
      </c>
      <c r="C5" s="38" t="s">
        <v>282</v>
      </c>
      <c r="D5" s="24">
        <v>20.8</v>
      </c>
      <c r="E5" s="24">
        <v>20.8</v>
      </c>
      <c r="F5" s="39" t="s">
        <v>166</v>
      </c>
      <c r="H5" s="40"/>
    </row>
    <row r="6" ht="30" customHeight="1" spans="1:6">
      <c r="A6" s="37">
        <v>4</v>
      </c>
      <c r="B6" s="38" t="s">
        <v>168</v>
      </c>
      <c r="C6" s="38" t="s">
        <v>283</v>
      </c>
      <c r="D6" s="24">
        <v>16.8</v>
      </c>
      <c r="E6" s="24">
        <v>16.8</v>
      </c>
      <c r="F6" s="39" t="s">
        <v>166</v>
      </c>
    </row>
    <row r="7" ht="30" customHeight="1" spans="1:6">
      <c r="A7" s="37">
        <v>5</v>
      </c>
      <c r="B7" s="38" t="s">
        <v>171</v>
      </c>
      <c r="C7" s="41" t="s">
        <v>284</v>
      </c>
      <c r="D7" s="24">
        <v>41.6</v>
      </c>
      <c r="E7" s="24">
        <v>41.6</v>
      </c>
      <c r="F7" s="12" t="s">
        <v>173</v>
      </c>
    </row>
    <row r="8" ht="30" customHeight="1" spans="1:6">
      <c r="A8" s="37">
        <v>6</v>
      </c>
      <c r="B8" s="38" t="s">
        <v>171</v>
      </c>
      <c r="C8" s="41" t="s">
        <v>285</v>
      </c>
      <c r="D8" s="24">
        <v>53.8</v>
      </c>
      <c r="E8" s="24">
        <v>53.8</v>
      </c>
      <c r="F8" s="12" t="s">
        <v>173</v>
      </c>
    </row>
    <row r="9" ht="30" customHeight="1" spans="1:6">
      <c r="A9" s="37">
        <v>7</v>
      </c>
      <c r="B9" s="38" t="s">
        <v>175</v>
      </c>
      <c r="C9" s="41" t="s">
        <v>286</v>
      </c>
      <c r="D9" s="24">
        <v>41.6</v>
      </c>
      <c r="E9" s="24">
        <v>41.6</v>
      </c>
      <c r="F9" s="12" t="s">
        <v>173</v>
      </c>
    </row>
    <row r="10" ht="30" customHeight="1" spans="1:6">
      <c r="A10" s="37">
        <v>8</v>
      </c>
      <c r="B10" s="38" t="s">
        <v>177</v>
      </c>
      <c r="C10" s="38" t="s">
        <v>287</v>
      </c>
      <c r="D10" s="24">
        <v>10.7</v>
      </c>
      <c r="E10" s="24">
        <v>10.7</v>
      </c>
      <c r="F10" s="12" t="s">
        <v>173</v>
      </c>
    </row>
    <row r="11" ht="30" customHeight="1" spans="1:6">
      <c r="A11" s="37">
        <v>9</v>
      </c>
      <c r="B11" s="38" t="s">
        <v>177</v>
      </c>
      <c r="C11" s="38" t="s">
        <v>288</v>
      </c>
      <c r="D11" s="24">
        <v>10.7</v>
      </c>
      <c r="E11" s="24">
        <v>10.7</v>
      </c>
      <c r="F11" s="12" t="s">
        <v>173</v>
      </c>
    </row>
    <row r="12" ht="30" customHeight="1" spans="1:6">
      <c r="A12" s="37">
        <v>10</v>
      </c>
      <c r="B12" s="38" t="s">
        <v>180</v>
      </c>
      <c r="C12" s="38" t="s">
        <v>289</v>
      </c>
      <c r="D12" s="24">
        <v>10.7</v>
      </c>
      <c r="E12" s="24">
        <v>10.7</v>
      </c>
      <c r="F12" s="12" t="s">
        <v>173</v>
      </c>
    </row>
    <row r="13" ht="30" customHeight="1" spans="1:6">
      <c r="A13" s="37">
        <v>11</v>
      </c>
      <c r="B13" s="38" t="s">
        <v>180</v>
      </c>
      <c r="C13" s="38" t="s">
        <v>290</v>
      </c>
      <c r="D13" s="24">
        <v>10.7</v>
      </c>
      <c r="E13" s="24">
        <v>10.7</v>
      </c>
      <c r="F13" s="12" t="s">
        <v>173</v>
      </c>
    </row>
    <row r="14" ht="30" customHeight="1" spans="1:6">
      <c r="A14" s="6"/>
      <c r="B14" s="10"/>
      <c r="C14" s="10"/>
      <c r="D14" s="24"/>
      <c r="E14" s="11"/>
      <c r="F14" s="12"/>
    </row>
    <row r="15" ht="30" customHeight="1" spans="1:6">
      <c r="A15" s="6"/>
      <c r="B15" s="42"/>
      <c r="C15" s="42"/>
      <c r="D15" s="24"/>
      <c r="E15" s="11"/>
      <c r="F15" s="12"/>
    </row>
    <row r="16" ht="30" customHeight="1" spans="1:6">
      <c r="A16" s="6"/>
      <c r="B16" s="42"/>
      <c r="C16" s="42"/>
      <c r="D16" s="24"/>
      <c r="E16" s="11"/>
      <c r="F16" s="12"/>
    </row>
    <row r="17" ht="30" customHeight="1" spans="1:6">
      <c r="A17" s="6"/>
      <c r="B17" s="42"/>
      <c r="C17" s="42"/>
      <c r="D17" s="24"/>
      <c r="E17" s="11"/>
      <c r="F17" s="12"/>
    </row>
    <row r="18" ht="30" customHeight="1" spans="1:6">
      <c r="A18" s="6"/>
      <c r="B18" s="42"/>
      <c r="C18" s="42"/>
      <c r="D18" s="24"/>
      <c r="E18" s="11"/>
      <c r="F18" s="12"/>
    </row>
    <row r="19" ht="30" customHeight="1" spans="1:6">
      <c r="A19" s="6"/>
      <c r="B19" s="42"/>
      <c r="C19" s="42"/>
      <c r="D19" s="24"/>
      <c r="E19" s="11"/>
      <c r="F19" s="12"/>
    </row>
    <row r="20" ht="30" customHeight="1" spans="1:6">
      <c r="A20" s="6"/>
      <c r="B20" s="42"/>
      <c r="C20" s="42"/>
      <c r="D20" s="24"/>
      <c r="E20" s="11"/>
      <c r="F20" s="12"/>
    </row>
    <row r="21" s="32" customFormat="1" ht="30" customHeight="1" spans="1:6">
      <c r="A21" s="6" t="s">
        <v>160</v>
      </c>
      <c r="B21" s="42"/>
      <c r="C21" s="6"/>
      <c r="D21" s="6">
        <f>SUM(D3:D17)</f>
        <v>255</v>
      </c>
      <c r="E21" s="6">
        <f>SUM(E3:E17)</f>
        <v>255</v>
      </c>
      <c r="F21" s="12"/>
    </row>
    <row r="22" s="1" customFormat="1" ht="30" customHeight="1" spans="1:3">
      <c r="A22" s="13" t="s">
        <v>161</v>
      </c>
      <c r="B22" s="13"/>
      <c r="C22" s="13"/>
    </row>
  </sheetData>
  <mergeCells count="1">
    <mergeCell ref="A1:F1"/>
  </mergeCells>
  <pageMargins left="0.699305555555556" right="0.699305555555556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G4" sqref="G4"/>
    </sheetView>
  </sheetViews>
  <sheetFormatPr defaultColWidth="8.75" defaultRowHeight="13.5"/>
  <cols>
    <col min="1" max="1" width="6.625" style="33" customWidth="1"/>
    <col min="2" max="2" width="25.625" style="33" customWidth="1"/>
    <col min="3" max="5" width="10.625" style="33" customWidth="1"/>
    <col min="6" max="6" width="12.25" style="34" customWidth="1"/>
    <col min="7" max="7" width="12.875" style="33" customWidth="1"/>
    <col min="8" max="8" width="8.5" style="33" customWidth="1"/>
    <col min="9" max="16384" width="8.75" style="33"/>
  </cols>
  <sheetData>
    <row r="1" ht="60" customHeight="1" spans="1:8">
      <c r="A1" s="2" t="s">
        <v>291</v>
      </c>
      <c r="B1" s="2"/>
      <c r="C1" s="2"/>
      <c r="D1" s="2"/>
      <c r="E1" s="2"/>
      <c r="F1" s="35"/>
      <c r="G1" s="2"/>
      <c r="H1" s="2"/>
    </row>
    <row r="2" ht="30" customHeight="1" spans="1:8">
      <c r="A2" s="3" t="s">
        <v>147</v>
      </c>
      <c r="B2" s="3" t="s">
        <v>148</v>
      </c>
      <c r="C2" s="3" t="s">
        <v>149</v>
      </c>
      <c r="D2" s="3" t="s">
        <v>150</v>
      </c>
      <c r="E2" s="3" t="s">
        <v>273</v>
      </c>
      <c r="F2" s="36" t="s">
        <v>274</v>
      </c>
      <c r="G2" s="4" t="s">
        <v>275</v>
      </c>
      <c r="H2" s="5" t="s">
        <v>153</v>
      </c>
    </row>
    <row r="3" ht="39" customHeight="1" spans="1:8">
      <c r="A3" s="6">
        <v>1</v>
      </c>
      <c r="B3" s="43" t="s">
        <v>292</v>
      </c>
      <c r="C3" s="44">
        <v>4000</v>
      </c>
      <c r="D3" s="45">
        <v>6</v>
      </c>
      <c r="E3" s="45">
        <v>0.2</v>
      </c>
      <c r="F3" s="14">
        <f>D3*C3*E3</f>
        <v>4800</v>
      </c>
      <c r="G3" s="14">
        <v>4800</v>
      </c>
      <c r="H3" s="46" t="s">
        <v>293</v>
      </c>
    </row>
    <row r="4" ht="30" customHeight="1" spans="1:8">
      <c r="A4" s="6"/>
      <c r="B4" s="6"/>
      <c r="C4" s="6"/>
      <c r="D4" s="6"/>
      <c r="E4" s="6"/>
      <c r="F4" s="14"/>
      <c r="G4" s="11"/>
      <c r="H4" s="12"/>
    </row>
    <row r="5" ht="30" customHeight="1" spans="1:10">
      <c r="A5" s="6"/>
      <c r="B5" s="6"/>
      <c r="C5" s="6"/>
      <c r="D5" s="6"/>
      <c r="E5" s="6"/>
      <c r="F5" s="14"/>
      <c r="G5" s="11"/>
      <c r="H5" s="12"/>
      <c r="J5" s="40"/>
    </row>
    <row r="6" ht="30" customHeight="1" spans="1:8">
      <c r="A6" s="6"/>
      <c r="B6" s="6"/>
      <c r="C6" s="6"/>
      <c r="D6" s="6"/>
      <c r="E6" s="6"/>
      <c r="F6" s="24"/>
      <c r="G6" s="11"/>
      <c r="H6" s="12"/>
    </row>
    <row r="7" ht="30" customHeight="1" spans="1:8">
      <c r="A7" s="6"/>
      <c r="B7" s="6"/>
      <c r="C7" s="6"/>
      <c r="D7" s="6"/>
      <c r="E7" s="6"/>
      <c r="F7" s="24"/>
      <c r="G7" s="11"/>
      <c r="H7" s="12"/>
    </row>
    <row r="8" ht="30" customHeight="1" spans="1:8">
      <c r="A8" s="6"/>
      <c r="B8" s="6"/>
      <c r="C8" s="6"/>
      <c r="D8" s="6"/>
      <c r="E8" s="6"/>
      <c r="F8" s="24"/>
      <c r="G8" s="11"/>
      <c r="H8" s="12"/>
    </row>
    <row r="9" ht="30" customHeight="1" spans="1:8">
      <c r="A9" s="6"/>
      <c r="B9" s="6"/>
      <c r="C9" s="6"/>
      <c r="D9" s="6"/>
      <c r="E9" s="6"/>
      <c r="F9" s="24"/>
      <c r="G9" s="11"/>
      <c r="H9" s="12"/>
    </row>
    <row r="10" ht="30" customHeight="1" spans="1:8">
      <c r="A10" s="6"/>
      <c r="B10" s="10"/>
      <c r="C10" s="6"/>
      <c r="D10" s="6"/>
      <c r="E10" s="6"/>
      <c r="F10" s="24"/>
      <c r="G10" s="11"/>
      <c r="H10" s="12"/>
    </row>
    <row r="11" ht="30" customHeight="1" spans="1:8">
      <c r="A11" s="6"/>
      <c r="B11" s="6"/>
      <c r="C11" s="6"/>
      <c r="D11" s="6"/>
      <c r="E11" s="6"/>
      <c r="F11" s="24"/>
      <c r="G11" s="11"/>
      <c r="H11" s="12"/>
    </row>
    <row r="12" ht="30" customHeight="1" spans="1:8">
      <c r="A12" s="6"/>
      <c r="B12" s="10"/>
      <c r="C12" s="6"/>
      <c r="D12" s="6"/>
      <c r="E12" s="6"/>
      <c r="F12" s="24"/>
      <c r="G12" s="11"/>
      <c r="H12" s="12"/>
    </row>
    <row r="13" ht="30" customHeight="1" spans="1:8">
      <c r="A13" s="6"/>
      <c r="B13" s="6"/>
      <c r="C13" s="6"/>
      <c r="D13" s="6"/>
      <c r="E13" s="6"/>
      <c r="F13" s="24"/>
      <c r="G13" s="11"/>
      <c r="H13" s="12"/>
    </row>
    <row r="14" ht="30" customHeight="1" spans="1:8">
      <c r="A14" s="6"/>
      <c r="B14" s="10"/>
      <c r="C14" s="10"/>
      <c r="D14" s="10"/>
      <c r="E14" s="10"/>
      <c r="F14" s="24"/>
      <c r="G14" s="11"/>
      <c r="H14" s="12"/>
    </row>
    <row r="15" ht="30" customHeight="1" spans="1:8">
      <c r="A15" s="6"/>
      <c r="B15" s="42"/>
      <c r="C15" s="42"/>
      <c r="D15" s="42"/>
      <c r="E15" s="42"/>
      <c r="F15" s="24"/>
      <c r="G15" s="11"/>
      <c r="H15" s="12"/>
    </row>
    <row r="16" ht="30" customHeight="1" spans="1:8">
      <c r="A16" s="6"/>
      <c r="B16" s="42"/>
      <c r="C16" s="42"/>
      <c r="D16" s="42"/>
      <c r="E16" s="42"/>
      <c r="F16" s="24"/>
      <c r="G16" s="11"/>
      <c r="H16" s="12"/>
    </row>
    <row r="17" ht="30" customHeight="1" spans="1:8">
      <c r="A17" s="6"/>
      <c r="B17" s="42"/>
      <c r="C17" s="42"/>
      <c r="D17" s="42"/>
      <c r="E17" s="42"/>
      <c r="F17" s="24"/>
      <c r="G17" s="11"/>
      <c r="H17" s="12"/>
    </row>
    <row r="18" ht="30" customHeight="1" spans="1:8">
      <c r="A18" s="6"/>
      <c r="B18" s="42"/>
      <c r="C18" s="42"/>
      <c r="D18" s="42"/>
      <c r="E18" s="42"/>
      <c r="F18" s="24"/>
      <c r="G18" s="11"/>
      <c r="H18" s="12"/>
    </row>
    <row r="19" ht="30" customHeight="1" spans="1:8">
      <c r="A19" s="6"/>
      <c r="B19" s="42"/>
      <c r="C19" s="42"/>
      <c r="D19" s="42"/>
      <c r="E19" s="42"/>
      <c r="F19" s="24"/>
      <c r="G19" s="11"/>
      <c r="H19" s="12"/>
    </row>
    <row r="20" ht="30" customHeight="1" spans="1:8">
      <c r="A20" s="6"/>
      <c r="B20" s="42"/>
      <c r="C20" s="42"/>
      <c r="D20" s="42"/>
      <c r="E20" s="42"/>
      <c r="F20" s="24"/>
      <c r="G20" s="11"/>
      <c r="H20" s="12"/>
    </row>
    <row r="21" s="32" customFormat="1" ht="30" customHeight="1" spans="1:8">
      <c r="A21" s="6" t="s">
        <v>160</v>
      </c>
      <c r="B21" s="42"/>
      <c r="C21" s="6"/>
      <c r="D21" s="6"/>
      <c r="E21" s="6"/>
      <c r="F21" s="6">
        <f>SUM(F3:F17)</f>
        <v>4800</v>
      </c>
      <c r="G21" s="6">
        <f>SUM(G3:G17)</f>
        <v>4800</v>
      </c>
      <c r="H21" s="12"/>
    </row>
    <row r="22" s="1" customFormat="1" ht="30" customHeight="1" spans="1:5">
      <c r="A22" s="13" t="s">
        <v>161</v>
      </c>
      <c r="B22" s="13"/>
      <c r="C22" s="13"/>
      <c r="D22" s="13"/>
      <c r="E22" s="23"/>
    </row>
  </sheetData>
  <mergeCells count="1">
    <mergeCell ref="A1:H1"/>
  </mergeCells>
  <pageMargins left="0.699305555555556" right="0.699305555555556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3" sqref="A3:A13"/>
    </sheetView>
  </sheetViews>
  <sheetFormatPr defaultColWidth="8.75" defaultRowHeight="13.5" outlineLevelCol="7"/>
  <cols>
    <col min="1" max="1" width="6.625" style="33" customWidth="1"/>
    <col min="2" max="2" width="25.625" style="33" customWidth="1"/>
    <col min="3" max="3" width="32" style="33" customWidth="1"/>
    <col min="4" max="4" width="12.25" style="34" customWidth="1"/>
    <col min="5" max="5" width="12.875" style="33" customWidth="1"/>
    <col min="6" max="6" width="8.5" style="33" customWidth="1"/>
    <col min="7" max="16384" width="8.75" style="33"/>
  </cols>
  <sheetData>
    <row r="1" ht="60" customHeight="1" spans="1:6">
      <c r="A1" s="2" t="s">
        <v>294</v>
      </c>
      <c r="B1" s="2"/>
      <c r="C1" s="2"/>
      <c r="D1" s="35"/>
      <c r="E1" s="2"/>
      <c r="F1" s="2"/>
    </row>
    <row r="2" ht="30" customHeight="1" spans="1:6">
      <c r="A2" s="3" t="s">
        <v>147</v>
      </c>
      <c r="B2" s="3" t="s">
        <v>148</v>
      </c>
      <c r="C2" s="16" t="s">
        <v>163</v>
      </c>
      <c r="D2" s="36" t="s">
        <v>274</v>
      </c>
      <c r="E2" s="4" t="s">
        <v>275</v>
      </c>
      <c r="F2" s="5" t="s">
        <v>153</v>
      </c>
    </row>
    <row r="3" ht="39" customHeight="1" spans="1:6">
      <c r="A3" s="37">
        <v>1</v>
      </c>
      <c r="B3" s="38" t="s">
        <v>164</v>
      </c>
      <c r="C3" s="38" t="s">
        <v>280</v>
      </c>
      <c r="D3" s="11">
        <f t="shared" ref="D3:D6" si="0">15.2+111.2</f>
        <v>126.4</v>
      </c>
      <c r="E3" s="11">
        <f t="shared" ref="E3:E6" si="1">15.2+111.2</f>
        <v>126.4</v>
      </c>
      <c r="F3" s="39" t="s">
        <v>166</v>
      </c>
    </row>
    <row r="4" ht="30" customHeight="1" spans="1:6">
      <c r="A4" s="37">
        <v>2</v>
      </c>
      <c r="B4" s="38" t="s">
        <v>164</v>
      </c>
      <c r="C4" s="38" t="s">
        <v>281</v>
      </c>
      <c r="D4" s="11">
        <f t="shared" si="0"/>
        <v>126.4</v>
      </c>
      <c r="E4" s="11">
        <f t="shared" si="1"/>
        <v>126.4</v>
      </c>
      <c r="F4" s="39" t="s">
        <v>166</v>
      </c>
    </row>
    <row r="5" ht="30" customHeight="1" spans="1:8">
      <c r="A5" s="37">
        <v>3</v>
      </c>
      <c r="B5" s="38" t="s">
        <v>168</v>
      </c>
      <c r="C5" s="38" t="s">
        <v>282</v>
      </c>
      <c r="D5" s="11">
        <f t="shared" si="0"/>
        <v>126.4</v>
      </c>
      <c r="E5" s="11">
        <f t="shared" si="1"/>
        <v>126.4</v>
      </c>
      <c r="F5" s="39" t="s">
        <v>166</v>
      </c>
      <c r="H5" s="40"/>
    </row>
    <row r="6" ht="30" customHeight="1" spans="1:6">
      <c r="A6" s="37">
        <v>4</v>
      </c>
      <c r="B6" s="38" t="s">
        <v>168</v>
      </c>
      <c r="C6" s="38" t="s">
        <v>283</v>
      </c>
      <c r="D6" s="11">
        <f t="shared" si="0"/>
        <v>126.4</v>
      </c>
      <c r="E6" s="11">
        <f t="shared" si="1"/>
        <v>126.4</v>
      </c>
      <c r="F6" s="39" t="s">
        <v>166</v>
      </c>
    </row>
    <row r="7" ht="30" customHeight="1" spans="1:6">
      <c r="A7" s="37">
        <v>5</v>
      </c>
      <c r="B7" s="38" t="s">
        <v>171</v>
      </c>
      <c r="C7" s="41" t="s">
        <v>284</v>
      </c>
      <c r="D7" s="24">
        <f>15.2+222.3</f>
        <v>237.5</v>
      </c>
      <c r="E7" s="24">
        <f>15.2+222.3</f>
        <v>237.5</v>
      </c>
      <c r="F7" s="12" t="s">
        <v>173</v>
      </c>
    </row>
    <row r="8" ht="30" customHeight="1" spans="1:6">
      <c r="A8" s="37">
        <v>6</v>
      </c>
      <c r="B8" s="38" t="s">
        <v>171</v>
      </c>
      <c r="C8" s="41" t="s">
        <v>285</v>
      </c>
      <c r="D8" s="24">
        <f>15.2+287.7</f>
        <v>302.9</v>
      </c>
      <c r="E8" s="24">
        <f>15.2+287.7</f>
        <v>302.9</v>
      </c>
      <c r="F8" s="12" t="s">
        <v>173</v>
      </c>
    </row>
    <row r="9" ht="30" customHeight="1" spans="1:6">
      <c r="A9" s="37">
        <v>7</v>
      </c>
      <c r="B9" s="38" t="s">
        <v>175</v>
      </c>
      <c r="C9" s="41" t="s">
        <v>286</v>
      </c>
      <c r="D9" s="24">
        <f>15.2+222.3</f>
        <v>237.5</v>
      </c>
      <c r="E9" s="24">
        <f>15.2+222.3</f>
        <v>237.5</v>
      </c>
      <c r="F9" s="12" t="s">
        <v>173</v>
      </c>
    </row>
    <row r="10" ht="30" customHeight="1" spans="1:6">
      <c r="A10" s="37">
        <v>8</v>
      </c>
      <c r="B10" s="38" t="s">
        <v>177</v>
      </c>
      <c r="C10" s="38" t="s">
        <v>287</v>
      </c>
      <c r="D10" s="24">
        <f t="shared" ref="D10:D13" si="2">15.2+70.7</f>
        <v>85.9</v>
      </c>
      <c r="E10" s="24">
        <f t="shared" ref="E10:E13" si="3">15.2+70.7</f>
        <v>85.9</v>
      </c>
      <c r="F10" s="12" t="s">
        <v>173</v>
      </c>
    </row>
    <row r="11" ht="30" customHeight="1" spans="1:6">
      <c r="A11" s="37">
        <v>9</v>
      </c>
      <c r="B11" s="38" t="s">
        <v>177</v>
      </c>
      <c r="C11" s="38" t="s">
        <v>288</v>
      </c>
      <c r="D11" s="24">
        <f t="shared" si="2"/>
        <v>85.9</v>
      </c>
      <c r="E11" s="24">
        <f t="shared" si="3"/>
        <v>85.9</v>
      </c>
      <c r="F11" s="12" t="s">
        <v>173</v>
      </c>
    </row>
    <row r="12" ht="30" customHeight="1" spans="1:6">
      <c r="A12" s="37">
        <v>10</v>
      </c>
      <c r="B12" s="38" t="s">
        <v>180</v>
      </c>
      <c r="C12" s="38" t="s">
        <v>289</v>
      </c>
      <c r="D12" s="24">
        <f t="shared" si="2"/>
        <v>85.9</v>
      </c>
      <c r="E12" s="24">
        <f t="shared" si="3"/>
        <v>85.9</v>
      </c>
      <c r="F12" s="12" t="s">
        <v>173</v>
      </c>
    </row>
    <row r="13" ht="30" customHeight="1" spans="1:6">
      <c r="A13" s="37">
        <v>11</v>
      </c>
      <c r="B13" s="38" t="s">
        <v>180</v>
      </c>
      <c r="C13" s="38" t="s">
        <v>290</v>
      </c>
      <c r="D13" s="24">
        <f t="shared" si="2"/>
        <v>85.9</v>
      </c>
      <c r="E13" s="24">
        <f t="shared" si="3"/>
        <v>85.9</v>
      </c>
      <c r="F13" s="12" t="s">
        <v>173</v>
      </c>
    </row>
    <row r="14" ht="30" customHeight="1" spans="1:6">
      <c r="A14" s="6"/>
      <c r="B14" s="10"/>
      <c r="C14" s="10"/>
      <c r="D14" s="24"/>
      <c r="E14" s="11"/>
      <c r="F14" s="12"/>
    </row>
    <row r="15" ht="30" customHeight="1" spans="1:6">
      <c r="A15" s="6"/>
      <c r="B15" s="42"/>
      <c r="C15" s="42"/>
      <c r="D15" s="24"/>
      <c r="E15" s="11"/>
      <c r="F15" s="12"/>
    </row>
    <row r="16" ht="30" customHeight="1" spans="1:6">
      <c r="A16" s="6"/>
      <c r="B16" s="42"/>
      <c r="C16" s="42"/>
      <c r="D16" s="24"/>
      <c r="E16" s="11"/>
      <c r="F16" s="12"/>
    </row>
    <row r="17" ht="30" customHeight="1" spans="1:6">
      <c r="A17" s="6"/>
      <c r="B17" s="42"/>
      <c r="C17" s="42"/>
      <c r="D17" s="24"/>
      <c r="E17" s="11"/>
      <c r="F17" s="12"/>
    </row>
    <row r="18" ht="30" customHeight="1" spans="1:6">
      <c r="A18" s="6"/>
      <c r="B18" s="42"/>
      <c r="C18" s="42"/>
      <c r="D18" s="24"/>
      <c r="E18" s="11"/>
      <c r="F18" s="12"/>
    </row>
    <row r="19" ht="30" customHeight="1" spans="1:6">
      <c r="A19" s="6"/>
      <c r="B19" s="42"/>
      <c r="C19" s="42"/>
      <c r="D19" s="24"/>
      <c r="E19" s="11"/>
      <c r="F19" s="12"/>
    </row>
    <row r="20" ht="30" customHeight="1" spans="1:6">
      <c r="A20" s="6"/>
      <c r="B20" s="42"/>
      <c r="C20" s="42"/>
      <c r="D20" s="24"/>
      <c r="E20" s="11"/>
      <c r="F20" s="12"/>
    </row>
    <row r="21" s="32" customFormat="1" ht="30" customHeight="1" spans="1:6">
      <c r="A21" s="6" t="s">
        <v>160</v>
      </c>
      <c r="B21" s="42"/>
      <c r="C21" s="6"/>
      <c r="D21" s="6">
        <f>SUM(D3:D17)</f>
        <v>1627.1</v>
      </c>
      <c r="E21" s="6">
        <f>SUM(E3:E17)</f>
        <v>1627.1</v>
      </c>
      <c r="F21" s="12"/>
    </row>
    <row r="22" s="1" customFormat="1" ht="30" customHeight="1" spans="1:3">
      <c r="A22" s="13" t="s">
        <v>161</v>
      </c>
      <c r="B22" s="13"/>
      <c r="C22" s="13"/>
    </row>
  </sheetData>
  <mergeCells count="1">
    <mergeCell ref="A1:F1"/>
  </mergeCells>
  <pageMargins left="0.699305555555556" right="0.699305555555556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14" workbookViewId="0">
      <selection activeCell="F41" sqref="F41"/>
    </sheetView>
  </sheetViews>
  <sheetFormatPr defaultColWidth="8.75" defaultRowHeight="30" customHeight="1" outlineLevelCol="7"/>
  <cols>
    <col min="1" max="1" width="6.625" customWidth="1"/>
    <col min="2" max="2" width="22.125" customWidth="1"/>
    <col min="3" max="3" width="6.25" customWidth="1"/>
    <col min="4" max="4" width="6.375" customWidth="1"/>
    <col min="5" max="5" width="18" customWidth="1"/>
    <col min="6" max="6" width="20" customWidth="1"/>
    <col min="7" max="7" width="22.125" customWidth="1"/>
  </cols>
  <sheetData>
    <row r="1" ht="60" customHeight="1" spans="1:7">
      <c r="A1" s="2" t="s">
        <v>295</v>
      </c>
      <c r="B1" s="2"/>
      <c r="C1" s="2"/>
      <c r="D1" s="2"/>
      <c r="E1" s="2"/>
      <c r="F1" s="2"/>
      <c r="G1" s="2"/>
    </row>
    <row r="2" customHeight="1" spans="1:7">
      <c r="A2" s="15" t="s">
        <v>147</v>
      </c>
      <c r="B2" s="15" t="s">
        <v>148</v>
      </c>
      <c r="C2" s="16" t="s">
        <v>296</v>
      </c>
      <c r="D2" s="17"/>
      <c r="E2" s="18" t="s">
        <v>274</v>
      </c>
      <c r="F2" s="18" t="s">
        <v>275</v>
      </c>
      <c r="G2" s="19" t="s">
        <v>153</v>
      </c>
    </row>
    <row r="3" customHeight="1" spans="1:7">
      <c r="A3" s="20"/>
      <c r="B3" s="20"/>
      <c r="C3" s="3" t="s">
        <v>297</v>
      </c>
      <c r="D3" s="3" t="s">
        <v>298</v>
      </c>
      <c r="E3" s="21"/>
      <c r="F3" s="21"/>
      <c r="G3" s="22"/>
    </row>
    <row r="4" ht="32.25" customHeight="1" spans="1:8">
      <c r="A4" s="6">
        <v>1</v>
      </c>
      <c r="B4" s="7" t="s">
        <v>299</v>
      </c>
      <c r="C4" s="7"/>
      <c r="D4" s="7">
        <v>16</v>
      </c>
      <c r="E4" s="8">
        <v>6.2</v>
      </c>
      <c r="F4" s="8">
        <v>6.2</v>
      </c>
      <c r="G4" s="9" t="s">
        <v>300</v>
      </c>
      <c r="H4" t="s">
        <v>301</v>
      </c>
    </row>
    <row r="5" ht="32.25" customHeight="1" spans="1:8">
      <c r="A5" s="6">
        <v>2</v>
      </c>
      <c r="B5" s="7" t="s">
        <v>302</v>
      </c>
      <c r="C5" s="7"/>
      <c r="D5" s="7">
        <v>15</v>
      </c>
      <c r="E5" s="8">
        <v>6.7</v>
      </c>
      <c r="F5" s="8">
        <v>6.7</v>
      </c>
      <c r="G5" s="9"/>
      <c r="H5" t="s">
        <v>303</v>
      </c>
    </row>
    <row r="6" ht="32.25" customHeight="1" spans="1:8">
      <c r="A6" s="6">
        <v>3</v>
      </c>
      <c r="B6" s="7" t="s">
        <v>304</v>
      </c>
      <c r="C6" s="7"/>
      <c r="D6" s="7">
        <v>179</v>
      </c>
      <c r="E6" s="8">
        <v>79.4</v>
      </c>
      <c r="F6" s="8">
        <v>79.4</v>
      </c>
      <c r="G6" s="9"/>
      <c r="H6" t="s">
        <v>303</v>
      </c>
    </row>
    <row r="7" ht="32.25" customHeight="1" spans="1:8">
      <c r="A7" s="6">
        <v>4</v>
      </c>
      <c r="B7" s="7" t="s">
        <v>305</v>
      </c>
      <c r="C7" s="7"/>
      <c r="D7" s="7">
        <v>20</v>
      </c>
      <c r="E7" s="8">
        <v>7.7</v>
      </c>
      <c r="F7" s="8">
        <v>7.7</v>
      </c>
      <c r="G7" s="9"/>
      <c r="H7" t="s">
        <v>301</v>
      </c>
    </row>
    <row r="8" ht="32.25" customHeight="1" spans="1:8">
      <c r="A8" s="6">
        <v>5</v>
      </c>
      <c r="B8" s="7" t="s">
        <v>306</v>
      </c>
      <c r="C8" s="7"/>
      <c r="D8" s="7">
        <v>200</v>
      </c>
      <c r="E8" s="8">
        <v>77</v>
      </c>
      <c r="F8" s="8">
        <v>77</v>
      </c>
      <c r="G8" s="9"/>
      <c r="H8" t="s">
        <v>301</v>
      </c>
    </row>
    <row r="9" ht="32.25" customHeight="1" spans="1:8">
      <c r="A9" s="6">
        <v>6</v>
      </c>
      <c r="B9" s="7" t="s">
        <v>307</v>
      </c>
      <c r="C9" s="7"/>
      <c r="D9" s="7">
        <v>337</v>
      </c>
      <c r="E9" s="8">
        <v>149.5</v>
      </c>
      <c r="F9" s="8">
        <v>149.5</v>
      </c>
      <c r="G9" s="9"/>
      <c r="H9" t="s">
        <v>303</v>
      </c>
    </row>
    <row r="10" ht="32.25" customHeight="1" spans="1:8">
      <c r="A10" s="6">
        <v>7</v>
      </c>
      <c r="B10" s="7" t="s">
        <v>308</v>
      </c>
      <c r="C10" s="7"/>
      <c r="D10" s="7">
        <v>163</v>
      </c>
      <c r="E10" s="8">
        <v>62.7</v>
      </c>
      <c r="F10" s="8">
        <v>62.7</v>
      </c>
      <c r="G10" s="9"/>
      <c r="H10" t="s">
        <v>301</v>
      </c>
    </row>
    <row r="11" ht="32.25" customHeight="1" spans="1:8">
      <c r="A11" s="6">
        <v>8</v>
      </c>
      <c r="B11" s="7" t="s">
        <v>309</v>
      </c>
      <c r="C11" s="7"/>
      <c r="D11" s="7">
        <v>120</v>
      </c>
      <c r="E11" s="8">
        <v>53.2</v>
      </c>
      <c r="F11" s="8">
        <v>53.2</v>
      </c>
      <c r="G11" s="9"/>
      <c r="H11" t="s">
        <v>303</v>
      </c>
    </row>
    <row r="12" customHeight="1" spans="1:8">
      <c r="A12" s="6">
        <v>9</v>
      </c>
      <c r="B12" s="10" t="s">
        <v>310</v>
      </c>
      <c r="C12" s="10">
        <v>31</v>
      </c>
      <c r="D12" s="10"/>
      <c r="E12" s="10">
        <v>13.8</v>
      </c>
      <c r="F12" s="10">
        <v>13.8</v>
      </c>
      <c r="G12" s="12"/>
      <c r="H12" t="s">
        <v>303</v>
      </c>
    </row>
    <row r="13" customHeight="1" spans="1:8">
      <c r="A13" s="6">
        <v>10</v>
      </c>
      <c r="B13" s="10" t="s">
        <v>311</v>
      </c>
      <c r="C13" s="10">
        <v>199</v>
      </c>
      <c r="D13" s="10"/>
      <c r="E13" s="10">
        <v>76.6</v>
      </c>
      <c r="F13" s="10">
        <v>76.6</v>
      </c>
      <c r="G13" s="12"/>
      <c r="H13" t="s">
        <v>301</v>
      </c>
    </row>
    <row r="14" customHeight="1" spans="1:8">
      <c r="A14" s="6">
        <v>11</v>
      </c>
      <c r="B14" s="10" t="s">
        <v>312</v>
      </c>
      <c r="C14" s="10">
        <v>57</v>
      </c>
      <c r="D14" s="10"/>
      <c r="E14" s="10">
        <v>21.9</v>
      </c>
      <c r="F14" s="10">
        <v>21.9</v>
      </c>
      <c r="G14" s="12"/>
      <c r="H14" t="s">
        <v>301</v>
      </c>
    </row>
    <row r="15" customHeight="1" spans="1:8">
      <c r="A15" s="6">
        <v>12</v>
      </c>
      <c r="B15" s="10" t="s">
        <v>313</v>
      </c>
      <c r="C15" s="10"/>
      <c r="D15" s="10">
        <v>31</v>
      </c>
      <c r="E15" s="10">
        <v>11.9</v>
      </c>
      <c r="F15" s="10">
        <v>11.9</v>
      </c>
      <c r="G15" s="12"/>
      <c r="H15" t="s">
        <v>301</v>
      </c>
    </row>
    <row r="16" customHeight="1" spans="1:8">
      <c r="A16" s="6">
        <v>13</v>
      </c>
      <c r="B16" s="10" t="s">
        <v>314</v>
      </c>
      <c r="C16" s="10"/>
      <c r="D16" s="10">
        <v>63</v>
      </c>
      <c r="E16" s="10">
        <v>24.2</v>
      </c>
      <c r="F16" s="10">
        <v>24.2</v>
      </c>
      <c r="G16" s="12"/>
      <c r="H16" t="s">
        <v>301</v>
      </c>
    </row>
    <row r="17" customHeight="1" spans="1:8">
      <c r="A17" s="6">
        <v>14</v>
      </c>
      <c r="B17" s="10" t="s">
        <v>315</v>
      </c>
      <c r="C17" s="10"/>
      <c r="D17" s="10">
        <v>32</v>
      </c>
      <c r="E17" s="10">
        <v>12.3</v>
      </c>
      <c r="F17" s="10">
        <v>12.3</v>
      </c>
      <c r="G17" s="12"/>
      <c r="H17" t="s">
        <v>301</v>
      </c>
    </row>
    <row r="18" customHeight="1" spans="1:8">
      <c r="A18" s="6">
        <v>15</v>
      </c>
      <c r="B18" s="10" t="s">
        <v>313</v>
      </c>
      <c r="C18" s="10">
        <v>31</v>
      </c>
      <c r="D18" s="10"/>
      <c r="E18" s="10">
        <v>13.8</v>
      </c>
      <c r="F18" s="10">
        <v>13.8</v>
      </c>
      <c r="G18" s="12"/>
      <c r="H18" t="s">
        <v>303</v>
      </c>
    </row>
    <row r="19" customHeight="1" spans="1:8">
      <c r="A19" s="6">
        <v>16</v>
      </c>
      <c r="B19" s="10" t="s">
        <v>316</v>
      </c>
      <c r="C19" s="10">
        <v>114</v>
      </c>
      <c r="D19" s="10"/>
      <c r="E19" s="10">
        <v>50.6</v>
      </c>
      <c r="F19" s="10">
        <v>50.6</v>
      </c>
      <c r="G19" s="12"/>
      <c r="H19" t="s">
        <v>303</v>
      </c>
    </row>
    <row r="20" customHeight="1" spans="1:8">
      <c r="A20" s="6">
        <v>17</v>
      </c>
      <c r="B20" s="10" t="s">
        <v>317</v>
      </c>
      <c r="C20" s="10">
        <v>85</v>
      </c>
      <c r="D20" s="10"/>
      <c r="E20" s="10">
        <v>32.7</v>
      </c>
      <c r="F20" s="10">
        <v>32.7</v>
      </c>
      <c r="G20" s="12"/>
      <c r="H20" t="s">
        <v>301</v>
      </c>
    </row>
    <row r="21" customHeight="1" spans="1:8">
      <c r="A21" s="6">
        <v>18</v>
      </c>
      <c r="B21" s="10" t="s">
        <v>318</v>
      </c>
      <c r="C21" s="10">
        <v>264</v>
      </c>
      <c r="D21" s="10"/>
      <c r="E21" s="10">
        <v>101.6</v>
      </c>
      <c r="F21" s="10">
        <v>101.6</v>
      </c>
      <c r="G21" s="12"/>
      <c r="H21" t="s">
        <v>301</v>
      </c>
    </row>
    <row r="22" customHeight="1" spans="1:8">
      <c r="A22" s="6">
        <v>19</v>
      </c>
      <c r="B22" s="6" t="s">
        <v>319</v>
      </c>
      <c r="C22" s="6">
        <v>230</v>
      </c>
      <c r="D22" s="6"/>
      <c r="E22" s="6">
        <v>102</v>
      </c>
      <c r="F22" s="6">
        <v>102</v>
      </c>
      <c r="G22" s="6"/>
      <c r="H22" t="s">
        <v>303</v>
      </c>
    </row>
    <row r="23" customHeight="1" spans="1:8">
      <c r="A23" s="6">
        <v>20</v>
      </c>
      <c r="B23" s="6" t="s">
        <v>320</v>
      </c>
      <c r="C23" s="6">
        <v>246</v>
      </c>
      <c r="D23" s="6"/>
      <c r="E23" s="6">
        <v>94.7</v>
      </c>
      <c r="F23" s="6">
        <v>94.7</v>
      </c>
      <c r="G23" s="6"/>
      <c r="H23" t="s">
        <v>301</v>
      </c>
    </row>
    <row r="24" customHeight="1" spans="1:8">
      <c r="A24" s="6">
        <v>21</v>
      </c>
      <c r="B24" s="6" t="s">
        <v>321</v>
      </c>
      <c r="C24" s="6">
        <v>53</v>
      </c>
      <c r="D24" s="6"/>
      <c r="E24" s="6">
        <v>23.5</v>
      </c>
      <c r="F24" s="6">
        <v>23.5</v>
      </c>
      <c r="G24" s="6"/>
      <c r="H24" t="s">
        <v>303</v>
      </c>
    </row>
    <row r="25" customHeight="1" spans="1:8">
      <c r="A25" s="6">
        <v>22</v>
      </c>
      <c r="B25" s="6" t="s">
        <v>322</v>
      </c>
      <c r="C25" s="6">
        <v>40</v>
      </c>
      <c r="D25" s="6">
        <v>40</v>
      </c>
      <c r="E25" s="6">
        <v>35.5</v>
      </c>
      <c r="F25" s="6">
        <v>35.5</v>
      </c>
      <c r="G25" s="6"/>
      <c r="H25" t="s">
        <v>303</v>
      </c>
    </row>
    <row r="26" customHeight="1" spans="1:7">
      <c r="A26" s="6">
        <v>23</v>
      </c>
      <c r="B26" s="6" t="s">
        <v>322</v>
      </c>
      <c r="C26" s="30">
        <v>40</v>
      </c>
      <c r="D26" s="31"/>
      <c r="E26" s="6">
        <v>57.6</v>
      </c>
      <c r="F26" s="6">
        <v>57.6</v>
      </c>
      <c r="G26" s="6"/>
    </row>
    <row r="27" customHeight="1" spans="1:8">
      <c r="A27" s="6">
        <v>24</v>
      </c>
      <c r="B27" s="6" t="s">
        <v>323</v>
      </c>
      <c r="C27" s="6"/>
      <c r="D27" s="6">
        <v>99</v>
      </c>
      <c r="E27" s="6">
        <v>44.1</v>
      </c>
      <c r="F27" s="6">
        <v>44.1</v>
      </c>
      <c r="G27" s="6"/>
      <c r="H27" t="s">
        <v>303</v>
      </c>
    </row>
    <row r="28" customHeight="1" spans="1:8">
      <c r="A28" s="6">
        <v>25</v>
      </c>
      <c r="B28" s="6" t="s">
        <v>324</v>
      </c>
      <c r="C28" s="6">
        <v>90</v>
      </c>
      <c r="D28" s="6"/>
      <c r="E28" s="6">
        <v>40.1</v>
      </c>
      <c r="F28" s="6">
        <v>40.1</v>
      </c>
      <c r="G28" s="6"/>
      <c r="H28" t="s">
        <v>303</v>
      </c>
    </row>
    <row r="29" customHeight="1" spans="1:8">
      <c r="A29" s="6">
        <v>26</v>
      </c>
      <c r="B29" s="6" t="s">
        <v>325</v>
      </c>
      <c r="C29" s="6"/>
      <c r="D29" s="6">
        <v>248</v>
      </c>
      <c r="E29" s="6">
        <v>109.8</v>
      </c>
      <c r="F29" s="6">
        <v>109.8</v>
      </c>
      <c r="G29" s="6"/>
      <c r="H29" t="s">
        <v>303</v>
      </c>
    </row>
    <row r="30" customHeight="1" spans="1:8">
      <c r="A30" s="6">
        <v>27</v>
      </c>
      <c r="B30" s="6" t="s">
        <v>326</v>
      </c>
      <c r="C30" s="6">
        <v>256</v>
      </c>
      <c r="D30" s="6"/>
      <c r="E30" s="6">
        <v>113.4</v>
      </c>
      <c r="F30" s="6">
        <v>113.4</v>
      </c>
      <c r="G30" s="6"/>
      <c r="H30" t="s">
        <v>303</v>
      </c>
    </row>
    <row r="31" customHeight="1" spans="1:7">
      <c r="A31" s="6">
        <v>28</v>
      </c>
      <c r="B31" s="6" t="s">
        <v>327</v>
      </c>
      <c r="C31" s="30">
        <v>347</v>
      </c>
      <c r="D31" s="31"/>
      <c r="E31" s="6">
        <v>499.1</v>
      </c>
      <c r="F31" s="6">
        <v>499.1</v>
      </c>
      <c r="G31" s="6"/>
    </row>
    <row r="32" customHeight="1" spans="1:8">
      <c r="A32" s="6">
        <v>29</v>
      </c>
      <c r="B32" s="6" t="s">
        <v>328</v>
      </c>
      <c r="C32" s="6">
        <v>79</v>
      </c>
      <c r="D32" s="6">
        <v>79</v>
      </c>
      <c r="E32" s="6">
        <v>70</v>
      </c>
      <c r="F32" s="6">
        <v>70</v>
      </c>
      <c r="G32" s="6"/>
      <c r="H32" t="s">
        <v>303</v>
      </c>
    </row>
    <row r="33" customHeight="1" spans="1:8">
      <c r="A33" s="6">
        <v>30</v>
      </c>
      <c r="B33" s="6" t="s">
        <v>329</v>
      </c>
      <c r="C33" s="6">
        <v>166</v>
      </c>
      <c r="D33" s="6">
        <v>166</v>
      </c>
      <c r="E33" s="6">
        <v>127.8</v>
      </c>
      <c r="F33" s="6">
        <v>127.8</v>
      </c>
      <c r="G33" s="6"/>
      <c r="H33" t="s">
        <v>301</v>
      </c>
    </row>
    <row r="34" customHeight="1" spans="1:8">
      <c r="A34" s="6">
        <v>31</v>
      </c>
      <c r="B34" s="6" t="s">
        <v>330</v>
      </c>
      <c r="C34" s="6">
        <v>75</v>
      </c>
      <c r="D34" s="6">
        <v>75</v>
      </c>
      <c r="E34" s="6">
        <v>66.6</v>
      </c>
      <c r="F34" s="6">
        <v>66.6</v>
      </c>
      <c r="G34" s="6"/>
      <c r="H34" t="s">
        <v>303</v>
      </c>
    </row>
    <row r="35" customHeight="1" spans="1:8">
      <c r="A35" s="6">
        <v>32</v>
      </c>
      <c r="B35" s="6" t="s">
        <v>331</v>
      </c>
      <c r="C35" s="6">
        <v>77</v>
      </c>
      <c r="D35" s="6">
        <v>77</v>
      </c>
      <c r="E35" s="6">
        <v>68.7</v>
      </c>
      <c r="F35" s="6">
        <v>68.7</v>
      </c>
      <c r="G35" s="6"/>
      <c r="H35" t="s">
        <v>303</v>
      </c>
    </row>
    <row r="36" customHeight="1" spans="1:8">
      <c r="A36" s="6">
        <v>33</v>
      </c>
      <c r="B36" s="6" t="s">
        <v>332</v>
      </c>
      <c r="C36" s="6">
        <v>20</v>
      </c>
      <c r="D36" s="6">
        <v>20</v>
      </c>
      <c r="E36" s="6">
        <v>17.4</v>
      </c>
      <c r="F36" s="6">
        <v>17.4</v>
      </c>
      <c r="G36" s="6"/>
      <c r="H36" t="s">
        <v>303</v>
      </c>
    </row>
    <row r="37" customHeight="1" spans="1:8">
      <c r="A37" s="6">
        <v>34</v>
      </c>
      <c r="B37" s="6" t="s">
        <v>333</v>
      </c>
      <c r="C37" s="6">
        <v>203</v>
      </c>
      <c r="D37" s="6">
        <v>203</v>
      </c>
      <c r="E37" s="6">
        <v>156.2</v>
      </c>
      <c r="F37" s="6">
        <v>156.2</v>
      </c>
      <c r="G37" s="6"/>
      <c r="H37" t="s">
        <v>301</v>
      </c>
    </row>
    <row r="38" customHeight="1" spans="1:8">
      <c r="A38" s="6">
        <v>35</v>
      </c>
      <c r="B38" s="6" t="s">
        <v>334</v>
      </c>
      <c r="C38" s="6">
        <v>258</v>
      </c>
      <c r="D38" s="6">
        <v>258</v>
      </c>
      <c r="E38" s="6">
        <v>228.7</v>
      </c>
      <c r="F38" s="6">
        <v>228.7</v>
      </c>
      <c r="G38" s="6"/>
      <c r="H38" t="s">
        <v>303</v>
      </c>
    </row>
    <row r="39" customHeight="1" spans="1:8">
      <c r="A39" s="6">
        <v>36</v>
      </c>
      <c r="B39" s="6" t="s">
        <v>335</v>
      </c>
      <c r="C39" s="6">
        <v>255</v>
      </c>
      <c r="D39" s="6">
        <v>255</v>
      </c>
      <c r="E39" s="6">
        <v>225.9</v>
      </c>
      <c r="F39" s="6">
        <v>225.9</v>
      </c>
      <c r="G39" s="6"/>
      <c r="H39" t="s">
        <v>303</v>
      </c>
    </row>
    <row r="40" customHeight="1" spans="1:8">
      <c r="A40" s="6">
        <v>37</v>
      </c>
      <c r="B40" s="6" t="s">
        <v>336</v>
      </c>
      <c r="C40" s="6">
        <v>245</v>
      </c>
      <c r="D40" s="6">
        <v>245</v>
      </c>
      <c r="E40" s="6">
        <v>217.8</v>
      </c>
      <c r="F40" s="6">
        <v>217.8</v>
      </c>
      <c r="G40" s="6"/>
      <c r="H40" t="s">
        <v>303</v>
      </c>
    </row>
    <row r="41" customHeight="1" spans="1:7">
      <c r="A41" s="6" t="s">
        <v>160</v>
      </c>
      <c r="B41" s="6"/>
      <c r="C41" s="6"/>
      <c r="D41" s="6"/>
      <c r="E41" s="6">
        <f>SUM(E4:E40)</f>
        <v>3100.7</v>
      </c>
      <c r="F41" s="11">
        <f>SUM(F4:F40)</f>
        <v>3100.7</v>
      </c>
      <c r="G41" s="6"/>
    </row>
    <row r="42" s="1" customFormat="1" customHeight="1" spans="1:4">
      <c r="A42" s="13" t="s">
        <v>161</v>
      </c>
      <c r="B42" s="13"/>
      <c r="C42" s="23"/>
      <c r="D42" s="23"/>
    </row>
  </sheetData>
  <mergeCells count="10">
    <mergeCell ref="A1:G1"/>
    <mergeCell ref="C2:D2"/>
    <mergeCell ref="C26:D26"/>
    <mergeCell ref="C31:D31"/>
    <mergeCell ref="A41:B41"/>
    <mergeCell ref="A2:A3"/>
    <mergeCell ref="B2:B3"/>
    <mergeCell ref="E2:E3"/>
    <mergeCell ref="F2:F3"/>
    <mergeCell ref="G2:G3"/>
  </mergeCells>
  <pageMargins left="0.699305555555556" right="0.699305555555556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A3" sqref="A3:A16"/>
    </sheetView>
  </sheetViews>
  <sheetFormatPr defaultColWidth="8.75" defaultRowHeight="30" customHeight="1" outlineLevelCol="5"/>
  <cols>
    <col min="1" max="1" width="6.625" customWidth="1"/>
    <col min="2" max="2" width="22.125" customWidth="1"/>
    <col min="3" max="3" width="18" customWidth="1"/>
    <col min="4" max="4" width="20" customWidth="1"/>
    <col min="5" max="5" width="22.125" customWidth="1"/>
  </cols>
  <sheetData>
    <row r="1" ht="60" customHeight="1" spans="1:5">
      <c r="A1" s="2" t="s">
        <v>337</v>
      </c>
      <c r="B1" s="2"/>
      <c r="C1" s="2"/>
      <c r="D1" s="2"/>
      <c r="E1" s="2"/>
    </row>
    <row r="2" customHeight="1" spans="1:5">
      <c r="A2" s="3" t="s">
        <v>147</v>
      </c>
      <c r="B2" s="3" t="s">
        <v>148</v>
      </c>
      <c r="C2" s="4" t="s">
        <v>338</v>
      </c>
      <c r="D2" s="4" t="s">
        <v>339</v>
      </c>
      <c r="E2" s="5" t="s">
        <v>153</v>
      </c>
    </row>
    <row r="3" ht="32.25" customHeight="1" spans="1:5">
      <c r="A3" s="29">
        <v>1</v>
      </c>
      <c r="B3" s="8" t="s">
        <v>191</v>
      </c>
      <c r="C3" s="6">
        <v>93</v>
      </c>
      <c r="D3" s="6">
        <v>93</v>
      </c>
      <c r="E3" s="9" t="s">
        <v>192</v>
      </c>
    </row>
    <row r="4" ht="32.25" customHeight="1" spans="1:5">
      <c r="A4" s="29">
        <v>2</v>
      </c>
      <c r="B4" s="8" t="s">
        <v>193</v>
      </c>
      <c r="C4" s="6">
        <v>722</v>
      </c>
      <c r="D4" s="6">
        <v>722</v>
      </c>
      <c r="E4" s="9" t="s">
        <v>192</v>
      </c>
    </row>
    <row r="5" ht="32.25" customHeight="1" spans="1:5">
      <c r="A5" s="29">
        <v>3</v>
      </c>
      <c r="B5" s="8" t="s">
        <v>194</v>
      </c>
      <c r="C5" s="6">
        <v>93</v>
      </c>
      <c r="D5" s="6">
        <v>93</v>
      </c>
      <c r="E5" s="9" t="s">
        <v>192</v>
      </c>
    </row>
    <row r="6" ht="32.25" customHeight="1" spans="1:5">
      <c r="A6" s="29">
        <v>4</v>
      </c>
      <c r="B6" s="8" t="s">
        <v>195</v>
      </c>
      <c r="C6" s="6">
        <v>722</v>
      </c>
      <c r="D6" s="6">
        <v>722</v>
      </c>
      <c r="E6" s="9" t="s">
        <v>192</v>
      </c>
    </row>
    <row r="7" ht="32.25" customHeight="1" spans="1:5">
      <c r="A7" s="29">
        <v>5</v>
      </c>
      <c r="B7" s="8" t="s">
        <v>196</v>
      </c>
      <c r="C7" s="6">
        <v>83</v>
      </c>
      <c r="D7" s="6">
        <v>83</v>
      </c>
      <c r="E7" s="9" t="s">
        <v>192</v>
      </c>
    </row>
    <row r="8" ht="32.25" customHeight="1" spans="1:6">
      <c r="A8" s="29">
        <v>6</v>
      </c>
      <c r="B8" s="7" t="s">
        <v>197</v>
      </c>
      <c r="C8" s="8">
        <v>29</v>
      </c>
      <c r="D8" s="8">
        <v>29</v>
      </c>
      <c r="E8" s="9" t="s">
        <v>155</v>
      </c>
      <c r="F8" t="s">
        <v>198</v>
      </c>
    </row>
    <row r="9" ht="32.25" customHeight="1" spans="1:6">
      <c r="A9" s="29">
        <v>7</v>
      </c>
      <c r="B9" s="7" t="s">
        <v>199</v>
      </c>
      <c r="C9" s="8">
        <v>88</v>
      </c>
      <c r="D9" s="8">
        <v>88</v>
      </c>
      <c r="E9" s="9" t="s">
        <v>155</v>
      </c>
      <c r="F9" t="s">
        <v>198</v>
      </c>
    </row>
    <row r="10" ht="32.25" customHeight="1" spans="1:6">
      <c r="A10" s="29">
        <v>8</v>
      </c>
      <c r="B10" s="7" t="s">
        <v>200</v>
      </c>
      <c r="C10" s="8">
        <v>79</v>
      </c>
      <c r="D10" s="8">
        <v>79</v>
      </c>
      <c r="E10" s="9" t="s">
        <v>155</v>
      </c>
      <c r="F10" t="s">
        <v>201</v>
      </c>
    </row>
    <row r="11" customHeight="1" spans="1:6">
      <c r="A11" s="29">
        <v>9</v>
      </c>
      <c r="B11" s="10" t="s">
        <v>202</v>
      </c>
      <c r="C11" s="10">
        <v>66</v>
      </c>
      <c r="D11" s="10">
        <v>66</v>
      </c>
      <c r="E11" s="9" t="s">
        <v>155</v>
      </c>
      <c r="F11" t="s">
        <v>198</v>
      </c>
    </row>
    <row r="12" customHeight="1" spans="1:6">
      <c r="A12" s="29">
        <v>10</v>
      </c>
      <c r="B12" s="10" t="s">
        <v>203</v>
      </c>
      <c r="C12" s="10">
        <v>75</v>
      </c>
      <c r="D12" s="10">
        <v>75</v>
      </c>
      <c r="E12" s="9" t="s">
        <v>155</v>
      </c>
      <c r="F12" t="s">
        <v>201</v>
      </c>
    </row>
    <row r="13" customHeight="1" spans="1:6">
      <c r="A13" s="29">
        <v>11</v>
      </c>
      <c r="B13" s="10" t="s">
        <v>154</v>
      </c>
      <c r="C13" s="10">
        <v>341</v>
      </c>
      <c r="D13" s="10">
        <v>341</v>
      </c>
      <c r="E13" s="9" t="s">
        <v>155</v>
      </c>
      <c r="F13" t="s">
        <v>204</v>
      </c>
    </row>
    <row r="14" customHeight="1" spans="1:6">
      <c r="A14" s="29">
        <v>12</v>
      </c>
      <c r="B14" s="10" t="s">
        <v>205</v>
      </c>
      <c r="C14" s="10">
        <v>29</v>
      </c>
      <c r="D14" s="10">
        <v>29</v>
      </c>
      <c r="E14" s="9" t="s">
        <v>155</v>
      </c>
      <c r="F14" t="s">
        <v>201</v>
      </c>
    </row>
    <row r="15" customHeight="1" spans="1:5">
      <c r="A15" s="29">
        <v>13</v>
      </c>
      <c r="B15" s="10" t="s">
        <v>340</v>
      </c>
      <c r="C15" s="10">
        <v>255</v>
      </c>
      <c r="D15" s="10">
        <v>255</v>
      </c>
      <c r="E15" s="9" t="s">
        <v>155</v>
      </c>
    </row>
    <row r="16" customHeight="1" spans="1:5">
      <c r="A16" s="29">
        <v>14</v>
      </c>
      <c r="B16" s="10" t="s">
        <v>211</v>
      </c>
      <c r="C16" s="10">
        <v>250</v>
      </c>
      <c r="D16" s="10">
        <v>250</v>
      </c>
      <c r="E16" s="9" t="s">
        <v>155</v>
      </c>
    </row>
    <row r="17" customHeight="1" spans="1:5">
      <c r="A17" s="6"/>
      <c r="B17" s="10"/>
      <c r="C17" s="10"/>
      <c r="D17" s="11"/>
      <c r="E17" s="12"/>
    </row>
    <row r="18" customHeight="1" spans="1:5">
      <c r="A18" s="6"/>
      <c r="B18" s="10"/>
      <c r="C18" s="10"/>
      <c r="D18" s="11"/>
      <c r="E18" s="12"/>
    </row>
    <row r="19" customHeight="1" spans="1:5">
      <c r="A19" s="6"/>
      <c r="B19" s="10"/>
      <c r="C19" s="10"/>
      <c r="D19" s="11"/>
      <c r="E19" s="12"/>
    </row>
    <row r="20" customHeight="1" spans="1:5">
      <c r="A20" s="6"/>
      <c r="B20" s="10"/>
      <c r="C20" s="10"/>
      <c r="D20" s="11"/>
      <c r="E20" s="12"/>
    </row>
    <row r="21" customHeight="1" spans="1:5">
      <c r="A21" s="6" t="s">
        <v>160</v>
      </c>
      <c r="B21" s="6"/>
      <c r="C21" s="6">
        <f>SUM(C3:C20)</f>
        <v>2925</v>
      </c>
      <c r="D21" s="14">
        <f>SUM(D3:D20)</f>
        <v>2925</v>
      </c>
      <c r="E21" s="6"/>
    </row>
    <row r="22" s="1" customFormat="1" customHeight="1" spans="1:2">
      <c r="A22" s="13" t="s">
        <v>161</v>
      </c>
      <c r="B22" s="13"/>
    </row>
  </sheetData>
  <mergeCells count="2">
    <mergeCell ref="A1:E1"/>
    <mergeCell ref="A21:B21"/>
  </mergeCells>
  <pageMargins left="0.699305555555556" right="0.699305555555556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3" sqref="A3:A12"/>
    </sheetView>
  </sheetViews>
  <sheetFormatPr defaultColWidth="8.75" defaultRowHeight="30" customHeight="1" outlineLevelCol="4"/>
  <cols>
    <col min="1" max="1" width="6.625" customWidth="1"/>
    <col min="2" max="2" width="22.125" customWidth="1"/>
    <col min="3" max="3" width="18" customWidth="1"/>
    <col min="4" max="4" width="20" customWidth="1"/>
    <col min="5" max="5" width="22.125" customWidth="1"/>
  </cols>
  <sheetData>
    <row r="1" ht="60" customHeight="1" spans="1:5">
      <c r="A1" s="2" t="s">
        <v>341</v>
      </c>
      <c r="B1" s="2"/>
      <c r="C1" s="2"/>
      <c r="D1" s="2"/>
      <c r="E1" s="2"/>
    </row>
    <row r="2" customHeight="1" spans="1:5">
      <c r="A2" s="3" t="s">
        <v>147</v>
      </c>
      <c r="B2" s="3" t="s">
        <v>148</v>
      </c>
      <c r="C2" s="4" t="s">
        <v>338</v>
      </c>
      <c r="D2" s="4" t="s">
        <v>339</v>
      </c>
      <c r="E2" s="5" t="s">
        <v>153</v>
      </c>
    </row>
    <row r="3" ht="32.25" customHeight="1" spans="1:5">
      <c r="A3" s="6">
        <v>1</v>
      </c>
      <c r="B3" s="7" t="s">
        <v>342</v>
      </c>
      <c r="C3" s="8">
        <v>21</v>
      </c>
      <c r="D3" s="8">
        <v>21</v>
      </c>
      <c r="E3" s="26" t="s">
        <v>343</v>
      </c>
    </row>
    <row r="4" ht="32.25" customHeight="1" spans="1:5">
      <c r="A4" s="6">
        <v>2</v>
      </c>
      <c r="B4" s="7" t="s">
        <v>344</v>
      </c>
      <c r="C4" s="8">
        <v>20</v>
      </c>
      <c r="D4" s="8">
        <v>20</v>
      </c>
      <c r="E4" s="27"/>
    </row>
    <row r="5" ht="32.25" customHeight="1" spans="1:5">
      <c r="A5" s="6">
        <v>3</v>
      </c>
      <c r="B5" s="7" t="s">
        <v>345</v>
      </c>
      <c r="C5" s="8">
        <v>20</v>
      </c>
      <c r="D5" s="8">
        <v>20</v>
      </c>
      <c r="E5" s="27"/>
    </row>
    <row r="6" ht="32.25" customHeight="1" spans="1:5">
      <c r="A6" s="6">
        <v>4</v>
      </c>
      <c r="B6" s="7" t="s">
        <v>346</v>
      </c>
      <c r="C6" s="8">
        <v>20</v>
      </c>
      <c r="D6" s="8">
        <v>20</v>
      </c>
      <c r="E6" s="27"/>
    </row>
    <row r="7" ht="32.25" customHeight="1" spans="1:5">
      <c r="A7" s="6">
        <v>5</v>
      </c>
      <c r="B7" s="7" t="s">
        <v>347</v>
      </c>
      <c r="C7" s="8">
        <v>20</v>
      </c>
      <c r="D7" s="8">
        <v>20</v>
      </c>
      <c r="E7" s="27"/>
    </row>
    <row r="8" ht="32.25" customHeight="1" spans="1:5">
      <c r="A8" s="6">
        <v>6</v>
      </c>
      <c r="B8" s="7" t="s">
        <v>348</v>
      </c>
      <c r="C8" s="8">
        <v>20</v>
      </c>
      <c r="D8" s="8">
        <v>20</v>
      </c>
      <c r="E8" s="27"/>
    </row>
    <row r="9" ht="32.25" customHeight="1" spans="1:5">
      <c r="A9" s="6">
        <v>7</v>
      </c>
      <c r="B9" s="7" t="s">
        <v>349</v>
      </c>
      <c r="C9" s="8">
        <v>26</v>
      </c>
      <c r="D9" s="8">
        <v>26</v>
      </c>
      <c r="E9" s="27"/>
    </row>
    <row r="10" ht="32.25" customHeight="1" spans="1:5">
      <c r="A10" s="6">
        <v>8</v>
      </c>
      <c r="B10" s="7" t="s">
        <v>350</v>
      </c>
      <c r="C10" s="8">
        <v>17</v>
      </c>
      <c r="D10" s="8">
        <v>17</v>
      </c>
      <c r="E10" s="27"/>
    </row>
    <row r="11" customHeight="1" spans="1:5">
      <c r="A11" s="6">
        <v>9</v>
      </c>
      <c r="B11" s="10" t="s">
        <v>351</v>
      </c>
      <c r="C11" s="10">
        <v>17</v>
      </c>
      <c r="D11" s="10">
        <v>17</v>
      </c>
      <c r="E11" s="27"/>
    </row>
    <row r="12" customHeight="1" spans="1:5">
      <c r="A12" s="6">
        <v>10</v>
      </c>
      <c r="B12" s="10" t="s">
        <v>352</v>
      </c>
      <c r="C12" s="10">
        <v>17</v>
      </c>
      <c r="D12" s="10">
        <v>17</v>
      </c>
      <c r="E12" s="28"/>
    </row>
    <row r="13" customHeight="1" spans="1:5">
      <c r="A13" s="6"/>
      <c r="B13" s="10"/>
      <c r="C13" s="10"/>
      <c r="D13" s="11"/>
      <c r="E13" s="12"/>
    </row>
    <row r="14" customHeight="1" spans="1:5">
      <c r="A14" s="6"/>
      <c r="B14" s="10"/>
      <c r="C14" s="10"/>
      <c r="D14" s="11"/>
      <c r="E14" s="12"/>
    </row>
    <row r="15" customHeight="1" spans="1:5">
      <c r="A15" s="6"/>
      <c r="B15" s="10"/>
      <c r="C15" s="10"/>
      <c r="D15" s="11"/>
      <c r="E15" s="12"/>
    </row>
    <row r="16" customHeight="1" spans="1:5">
      <c r="A16" s="6"/>
      <c r="B16" s="10"/>
      <c r="C16" s="10"/>
      <c r="D16" s="11"/>
      <c r="E16" s="12"/>
    </row>
    <row r="17" customHeight="1" spans="1:5">
      <c r="A17" s="6"/>
      <c r="B17" s="10"/>
      <c r="C17" s="10"/>
      <c r="D17" s="11"/>
      <c r="E17" s="12"/>
    </row>
    <row r="18" customHeight="1" spans="1:5">
      <c r="A18" s="6"/>
      <c r="B18" s="10"/>
      <c r="C18" s="10"/>
      <c r="D18" s="11"/>
      <c r="E18" s="12"/>
    </row>
    <row r="19" customHeight="1" spans="1:5">
      <c r="A19" s="6"/>
      <c r="B19" s="10"/>
      <c r="C19" s="10"/>
      <c r="D19" s="11"/>
      <c r="E19" s="12"/>
    </row>
    <row r="20" customHeight="1" spans="1:5">
      <c r="A20" s="6"/>
      <c r="B20" s="10"/>
      <c r="C20" s="10"/>
      <c r="D20" s="11"/>
      <c r="E20" s="12"/>
    </row>
    <row r="21" customHeight="1" spans="1:5">
      <c r="A21" s="6" t="s">
        <v>160</v>
      </c>
      <c r="B21" s="6"/>
      <c r="C21" s="6">
        <f>SUM(C3:C20)</f>
        <v>198</v>
      </c>
      <c r="D21" s="14">
        <f>SUM(D3:D20)</f>
        <v>198</v>
      </c>
      <c r="E21" s="6"/>
    </row>
    <row r="22" s="1" customFormat="1" customHeight="1" spans="1:2">
      <c r="A22" s="13" t="s">
        <v>161</v>
      </c>
      <c r="B22" s="13"/>
    </row>
  </sheetData>
  <mergeCells count="3">
    <mergeCell ref="A1:E1"/>
    <mergeCell ref="A21:B21"/>
    <mergeCell ref="E3:E12"/>
  </mergeCells>
  <pageMargins left="0.699305555555556" right="0.699305555555556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E3" sqref="E3:E7"/>
    </sheetView>
  </sheetViews>
  <sheetFormatPr defaultColWidth="8.75" defaultRowHeight="30" customHeight="1" outlineLevelCol="4"/>
  <cols>
    <col min="1" max="1" width="6.625" customWidth="1"/>
    <col min="2" max="2" width="22.125" customWidth="1"/>
    <col min="3" max="3" width="18" customWidth="1"/>
    <col min="4" max="4" width="20" customWidth="1"/>
    <col min="5" max="5" width="22.125" customWidth="1"/>
  </cols>
  <sheetData>
    <row r="1" ht="60" customHeight="1" spans="1:5">
      <c r="A1" s="2" t="s">
        <v>353</v>
      </c>
      <c r="B1" s="2"/>
      <c r="C1" s="2"/>
      <c r="D1" s="2"/>
      <c r="E1" s="2"/>
    </row>
    <row r="2" customHeight="1" spans="1:5">
      <c r="A2" s="3" t="s">
        <v>147</v>
      </c>
      <c r="B2" s="3" t="s">
        <v>148</v>
      </c>
      <c r="C2" s="4" t="s">
        <v>338</v>
      </c>
      <c r="D2" s="4" t="s">
        <v>339</v>
      </c>
      <c r="E2" s="5" t="s">
        <v>153</v>
      </c>
    </row>
    <row r="3" ht="32.25" customHeight="1" spans="1:5">
      <c r="A3" s="6">
        <v>1</v>
      </c>
      <c r="B3" s="7" t="s">
        <v>354</v>
      </c>
      <c r="C3" s="8">
        <v>37</v>
      </c>
      <c r="D3" s="8">
        <v>37</v>
      </c>
      <c r="E3" s="9" t="s">
        <v>300</v>
      </c>
    </row>
    <row r="4" ht="32.25" customHeight="1" spans="1:5">
      <c r="A4" s="6">
        <v>2</v>
      </c>
      <c r="B4" s="7" t="s">
        <v>355</v>
      </c>
      <c r="C4" s="8">
        <v>280</v>
      </c>
      <c r="D4" s="8">
        <v>280</v>
      </c>
      <c r="E4" s="9" t="s">
        <v>300</v>
      </c>
    </row>
    <row r="5" ht="32.25" customHeight="1" spans="1:5">
      <c r="A5" s="6">
        <v>3</v>
      </c>
      <c r="B5" s="7" t="s">
        <v>356</v>
      </c>
      <c r="C5" s="8">
        <v>17</v>
      </c>
      <c r="D5" s="8">
        <v>17</v>
      </c>
      <c r="E5" s="9" t="s">
        <v>300</v>
      </c>
    </row>
    <row r="6" ht="32.25" customHeight="1" spans="1:5">
      <c r="A6" s="6">
        <v>4</v>
      </c>
      <c r="B6" s="7" t="s">
        <v>322</v>
      </c>
      <c r="C6" s="8">
        <v>17</v>
      </c>
      <c r="D6" s="8">
        <v>17</v>
      </c>
      <c r="E6" s="9" t="s">
        <v>300</v>
      </c>
    </row>
    <row r="7" ht="32.25" customHeight="1" spans="1:5">
      <c r="A7" s="6">
        <v>5</v>
      </c>
      <c r="B7" s="7" t="s">
        <v>357</v>
      </c>
      <c r="C7" s="8">
        <v>17</v>
      </c>
      <c r="D7" s="8">
        <v>17</v>
      </c>
      <c r="E7" s="9" t="s">
        <v>300</v>
      </c>
    </row>
    <row r="8" ht="32.25" customHeight="1" spans="1:5">
      <c r="A8" s="6">
        <v>6</v>
      </c>
      <c r="B8" s="7"/>
      <c r="C8" s="8"/>
      <c r="D8" s="8"/>
      <c r="E8" s="9"/>
    </row>
    <row r="9" ht="32.25" customHeight="1" spans="1:5">
      <c r="A9" s="6">
        <v>7</v>
      </c>
      <c r="B9" s="7"/>
      <c r="C9" s="8"/>
      <c r="D9" s="8"/>
      <c r="E9" s="9"/>
    </row>
    <row r="10" ht="32.25" customHeight="1" spans="1:5">
      <c r="A10" s="6">
        <v>8</v>
      </c>
      <c r="B10" s="7"/>
      <c r="C10" s="8"/>
      <c r="D10" s="8"/>
      <c r="E10" s="9"/>
    </row>
    <row r="11" customHeight="1" spans="1:5">
      <c r="A11" s="6"/>
      <c r="B11" s="10"/>
      <c r="C11" s="10"/>
      <c r="D11" s="11"/>
      <c r="E11" s="12"/>
    </row>
    <row r="12" customHeight="1" spans="1:5">
      <c r="A12" s="6"/>
      <c r="B12" s="10"/>
      <c r="C12" s="10"/>
      <c r="D12" s="11"/>
      <c r="E12" s="12"/>
    </row>
    <row r="13" customHeight="1" spans="1:5">
      <c r="A13" s="6"/>
      <c r="B13" s="10"/>
      <c r="C13" s="10"/>
      <c r="D13" s="11"/>
      <c r="E13" s="12"/>
    </row>
    <row r="14" customHeight="1" spans="1:5">
      <c r="A14" s="6"/>
      <c r="B14" s="10"/>
      <c r="C14" s="10"/>
      <c r="D14" s="11"/>
      <c r="E14" s="12"/>
    </row>
    <row r="15" customHeight="1" spans="1:5">
      <c r="A15" s="6"/>
      <c r="B15" s="10"/>
      <c r="C15" s="10"/>
      <c r="D15" s="11"/>
      <c r="E15" s="12"/>
    </row>
    <row r="16" customHeight="1" spans="1:5">
      <c r="A16" s="6"/>
      <c r="B16" s="10"/>
      <c r="C16" s="10"/>
      <c r="D16" s="11"/>
      <c r="E16" s="12"/>
    </row>
    <row r="17" customHeight="1" spans="1:5">
      <c r="A17" s="6"/>
      <c r="B17" s="10"/>
      <c r="C17" s="10"/>
      <c r="D17" s="11"/>
      <c r="E17" s="12"/>
    </row>
    <row r="18" customHeight="1" spans="1:5">
      <c r="A18" s="6"/>
      <c r="B18" s="10"/>
      <c r="C18" s="10"/>
      <c r="D18" s="11"/>
      <c r="E18" s="12"/>
    </row>
    <row r="19" customHeight="1" spans="1:5">
      <c r="A19" s="6"/>
      <c r="B19" s="10"/>
      <c r="C19" s="10"/>
      <c r="D19" s="11"/>
      <c r="E19" s="12"/>
    </row>
    <row r="20" customHeight="1" spans="1:5">
      <c r="A20" s="6"/>
      <c r="B20" s="10"/>
      <c r="C20" s="10"/>
      <c r="D20" s="11"/>
      <c r="E20" s="12"/>
    </row>
    <row r="21" customHeight="1" spans="1:5">
      <c r="A21" s="6" t="s">
        <v>160</v>
      </c>
      <c r="B21" s="6"/>
      <c r="C21" s="6">
        <f>SUM(C3:C20)</f>
        <v>368</v>
      </c>
      <c r="D21" s="14">
        <f>SUM(D3:D20)</f>
        <v>368</v>
      </c>
      <c r="E21" s="6"/>
    </row>
    <row r="22" s="1" customFormat="1" customHeight="1" spans="1:2">
      <c r="A22" s="13" t="s">
        <v>161</v>
      </c>
      <c r="B22" s="13"/>
    </row>
  </sheetData>
  <mergeCells count="2">
    <mergeCell ref="A1:E1"/>
    <mergeCell ref="A21:B21"/>
  </mergeCells>
  <pageMargins left="0.699305555555556" right="0.699305555555556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E3" sqref="E3"/>
    </sheetView>
  </sheetViews>
  <sheetFormatPr defaultColWidth="8.75" defaultRowHeight="30" customHeight="1" outlineLevelCol="4"/>
  <cols>
    <col min="1" max="1" width="6.625" customWidth="1"/>
    <col min="2" max="2" width="22.125" customWidth="1"/>
    <col min="3" max="3" width="18" customWidth="1"/>
    <col min="4" max="4" width="20" customWidth="1"/>
    <col min="5" max="5" width="22.125" customWidth="1"/>
  </cols>
  <sheetData>
    <row r="1" ht="60" customHeight="1" spans="1:5">
      <c r="A1" s="2" t="s">
        <v>358</v>
      </c>
      <c r="B1" s="2"/>
      <c r="C1" s="2"/>
      <c r="D1" s="2"/>
      <c r="E1" s="2"/>
    </row>
    <row r="2" customHeight="1" spans="1:5">
      <c r="A2" s="3" t="s">
        <v>147</v>
      </c>
      <c r="B2" s="3" t="s">
        <v>148</v>
      </c>
      <c r="C2" s="4" t="s">
        <v>338</v>
      </c>
      <c r="D2" s="4" t="s">
        <v>339</v>
      </c>
      <c r="E2" s="5" t="s">
        <v>153</v>
      </c>
    </row>
    <row r="3" ht="32.25" customHeight="1" spans="1:5">
      <c r="A3" s="6">
        <v>1</v>
      </c>
      <c r="B3" s="7" t="s">
        <v>359</v>
      </c>
      <c r="C3" s="8">
        <v>174</v>
      </c>
      <c r="D3" s="8">
        <v>174</v>
      </c>
      <c r="E3" s="9" t="s">
        <v>360</v>
      </c>
    </row>
    <row r="4" ht="32.25" customHeight="1" spans="1:5">
      <c r="A4" s="6">
        <v>2</v>
      </c>
      <c r="B4" s="7"/>
      <c r="C4" s="8"/>
      <c r="D4" s="8"/>
      <c r="E4" s="9"/>
    </row>
    <row r="5" ht="32.25" customHeight="1" spans="1:5">
      <c r="A5" s="6">
        <v>3</v>
      </c>
      <c r="B5" s="7"/>
      <c r="C5" s="8"/>
      <c r="D5" s="8"/>
      <c r="E5" s="9"/>
    </row>
    <row r="6" ht="32.25" customHeight="1" spans="1:5">
      <c r="A6" s="6">
        <v>4</v>
      </c>
      <c r="B6" s="7"/>
      <c r="C6" s="8"/>
      <c r="D6" s="8"/>
      <c r="E6" s="9"/>
    </row>
    <row r="7" ht="32.25" customHeight="1" spans="1:5">
      <c r="A7" s="6">
        <v>5</v>
      </c>
      <c r="B7" s="7"/>
      <c r="C7" s="8"/>
      <c r="D7" s="8"/>
      <c r="E7" s="9"/>
    </row>
    <row r="8" ht="32.25" customHeight="1" spans="1:5">
      <c r="A8" s="6">
        <v>6</v>
      </c>
      <c r="B8" s="7"/>
      <c r="C8" s="8"/>
      <c r="D8" s="8"/>
      <c r="E8" s="9"/>
    </row>
    <row r="9" ht="32.25" customHeight="1" spans="1:5">
      <c r="A9" s="6">
        <v>7</v>
      </c>
      <c r="B9" s="7"/>
      <c r="C9" s="8"/>
      <c r="D9" s="8"/>
      <c r="E9" s="9"/>
    </row>
    <row r="10" ht="32.25" customHeight="1" spans="1:5">
      <c r="A10" s="6">
        <v>8</v>
      </c>
      <c r="B10" s="7"/>
      <c r="C10" s="8"/>
      <c r="D10" s="8"/>
      <c r="E10" s="9"/>
    </row>
    <row r="11" customHeight="1" spans="1:5">
      <c r="A11" s="6"/>
      <c r="B11" s="10"/>
      <c r="C11" s="10"/>
      <c r="D11" s="11"/>
      <c r="E11" s="12"/>
    </row>
    <row r="12" customHeight="1" spans="1:5">
      <c r="A12" s="6"/>
      <c r="B12" s="10"/>
      <c r="C12" s="10"/>
      <c r="D12" s="11"/>
      <c r="E12" s="12"/>
    </row>
    <row r="13" customHeight="1" spans="1:5">
      <c r="A13" s="6"/>
      <c r="B13" s="10"/>
      <c r="C13" s="10"/>
      <c r="D13" s="11"/>
      <c r="E13" s="12"/>
    </row>
    <row r="14" customHeight="1" spans="1:5">
      <c r="A14" s="6"/>
      <c r="B14" s="10"/>
      <c r="C14" s="10"/>
      <c r="D14" s="11"/>
      <c r="E14" s="12"/>
    </row>
    <row r="15" customHeight="1" spans="1:5">
      <c r="A15" s="6"/>
      <c r="B15" s="10"/>
      <c r="C15" s="10"/>
      <c r="D15" s="11"/>
      <c r="E15" s="12"/>
    </row>
    <row r="16" customHeight="1" spans="1:5">
      <c r="A16" s="6"/>
      <c r="B16" s="10"/>
      <c r="C16" s="10"/>
      <c r="D16" s="11"/>
      <c r="E16" s="12"/>
    </row>
    <row r="17" customHeight="1" spans="1:5">
      <c r="A17" s="6"/>
      <c r="B17" s="10"/>
      <c r="C17" s="10"/>
      <c r="D17" s="11"/>
      <c r="E17" s="12"/>
    </row>
    <row r="18" customHeight="1" spans="1:5">
      <c r="A18" s="6"/>
      <c r="B18" s="10"/>
      <c r="C18" s="10"/>
      <c r="D18" s="11"/>
      <c r="E18" s="12"/>
    </row>
    <row r="19" customHeight="1" spans="1:5">
      <c r="A19" s="6"/>
      <c r="B19" s="10"/>
      <c r="C19" s="10"/>
      <c r="D19" s="11"/>
      <c r="E19" s="12"/>
    </row>
    <row r="20" customHeight="1" spans="1:5">
      <c r="A20" s="6"/>
      <c r="B20" s="10"/>
      <c r="C20" s="10"/>
      <c r="D20" s="11"/>
      <c r="E20" s="12"/>
    </row>
    <row r="21" customHeight="1" spans="1:5">
      <c r="A21" s="6" t="s">
        <v>160</v>
      </c>
      <c r="B21" s="6"/>
      <c r="C21" s="6">
        <f>SUM(C3:C20)</f>
        <v>174</v>
      </c>
      <c r="D21" s="14">
        <f>SUM(D3:D20)</f>
        <v>174</v>
      </c>
      <c r="E21" s="6"/>
    </row>
    <row r="22" s="1" customFormat="1" customHeight="1" spans="1:2">
      <c r="A22" s="13" t="s">
        <v>161</v>
      </c>
      <c r="B22" s="13"/>
    </row>
  </sheetData>
  <mergeCells count="2">
    <mergeCell ref="A1:E1"/>
    <mergeCell ref="A21:B21"/>
  </mergeCells>
  <pageMargins left="0.699305555555556" right="0.699305555555556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3" sqref="A3:A17"/>
    </sheetView>
  </sheetViews>
  <sheetFormatPr defaultColWidth="8.75" defaultRowHeight="30" customHeight="1" outlineLevelCol="4"/>
  <cols>
    <col min="1" max="1" width="6.625" customWidth="1"/>
    <col min="2" max="2" width="22.125" customWidth="1"/>
    <col min="3" max="3" width="18" customWidth="1"/>
    <col min="4" max="4" width="20" customWidth="1"/>
    <col min="5" max="5" width="22.125" customWidth="1"/>
  </cols>
  <sheetData>
    <row r="1" ht="60" customHeight="1" spans="1:5">
      <c r="A1" s="2" t="s">
        <v>361</v>
      </c>
      <c r="B1" s="2"/>
      <c r="C1" s="2"/>
      <c r="D1" s="2"/>
      <c r="E1" s="2"/>
    </row>
    <row r="2" customHeight="1" spans="1:5">
      <c r="A2" s="3" t="s">
        <v>147</v>
      </c>
      <c r="B2" s="3" t="s">
        <v>148</v>
      </c>
      <c r="C2" s="4" t="s">
        <v>338</v>
      </c>
      <c r="D2" s="4" t="s">
        <v>339</v>
      </c>
      <c r="E2" s="5" t="s">
        <v>153</v>
      </c>
    </row>
    <row r="3" ht="32.25" customHeight="1" spans="1:5">
      <c r="A3" s="6">
        <v>1</v>
      </c>
      <c r="B3" s="7" t="s">
        <v>362</v>
      </c>
      <c r="C3" s="8">
        <v>32</v>
      </c>
      <c r="D3" s="8">
        <v>32</v>
      </c>
      <c r="E3" s="26" t="s">
        <v>363</v>
      </c>
    </row>
    <row r="4" ht="32.25" customHeight="1" spans="1:5">
      <c r="A4" s="6">
        <v>2</v>
      </c>
      <c r="B4" s="7" t="s">
        <v>364</v>
      </c>
      <c r="C4" s="8">
        <v>32</v>
      </c>
      <c r="D4" s="8">
        <v>32</v>
      </c>
      <c r="E4" s="27"/>
    </row>
    <row r="5" ht="32.25" customHeight="1" spans="1:5">
      <c r="A5" s="6">
        <v>3</v>
      </c>
      <c r="B5" s="7" t="s">
        <v>365</v>
      </c>
      <c r="C5" s="8">
        <v>32</v>
      </c>
      <c r="D5" s="8">
        <v>32</v>
      </c>
      <c r="E5" s="27"/>
    </row>
    <row r="6" ht="32.25" customHeight="1" spans="1:5">
      <c r="A6" s="6">
        <v>4</v>
      </c>
      <c r="B6" s="7" t="s">
        <v>366</v>
      </c>
      <c r="C6" s="8">
        <v>32</v>
      </c>
      <c r="D6" s="8">
        <v>32</v>
      </c>
      <c r="E6" s="27"/>
    </row>
    <row r="7" ht="32.25" customHeight="1" spans="1:5">
      <c r="A7" s="6">
        <v>5</v>
      </c>
      <c r="B7" s="7" t="s">
        <v>367</v>
      </c>
      <c r="C7" s="8">
        <v>32</v>
      </c>
      <c r="D7" s="8">
        <v>32</v>
      </c>
      <c r="E7" s="27"/>
    </row>
    <row r="8" ht="32.25" customHeight="1" spans="1:5">
      <c r="A8" s="6">
        <v>6</v>
      </c>
      <c r="B8" s="7" t="s">
        <v>368</v>
      </c>
      <c r="C8" s="8">
        <v>32</v>
      </c>
      <c r="D8" s="8">
        <v>32</v>
      </c>
      <c r="E8" s="27"/>
    </row>
    <row r="9" ht="32.25" customHeight="1" spans="1:5">
      <c r="A9" s="6">
        <v>7</v>
      </c>
      <c r="B9" s="7" t="s">
        <v>369</v>
      </c>
      <c r="C9" s="8">
        <v>28</v>
      </c>
      <c r="D9" s="8">
        <v>28</v>
      </c>
      <c r="E9" s="27"/>
    </row>
    <row r="10" ht="32.25" customHeight="1" spans="1:5">
      <c r="A10" s="6">
        <v>8</v>
      </c>
      <c r="B10" s="7" t="s">
        <v>370</v>
      </c>
      <c r="C10" s="8">
        <v>26.61</v>
      </c>
      <c r="D10" s="8">
        <v>26.61</v>
      </c>
      <c r="E10" s="27"/>
    </row>
    <row r="11" customHeight="1" spans="1:5">
      <c r="A11" s="6">
        <v>9</v>
      </c>
      <c r="B11" s="7" t="s">
        <v>371</v>
      </c>
      <c r="C11" s="10">
        <v>31.91</v>
      </c>
      <c r="D11" s="10">
        <v>31.91</v>
      </c>
      <c r="E11" s="27"/>
    </row>
    <row r="12" customHeight="1" spans="1:5">
      <c r="A12" s="6">
        <v>10</v>
      </c>
      <c r="B12" s="7" t="s">
        <v>372</v>
      </c>
      <c r="C12" s="10">
        <v>32</v>
      </c>
      <c r="D12" s="10">
        <v>32</v>
      </c>
      <c r="E12" s="27"/>
    </row>
    <row r="13" customHeight="1" spans="1:5">
      <c r="A13" s="6">
        <v>11</v>
      </c>
      <c r="B13" s="7" t="s">
        <v>373</v>
      </c>
      <c r="C13" s="10">
        <v>32</v>
      </c>
      <c r="D13" s="10">
        <v>32</v>
      </c>
      <c r="E13" s="27"/>
    </row>
    <row r="14" customHeight="1" spans="1:5">
      <c r="A14" s="6">
        <v>12</v>
      </c>
      <c r="B14" s="7" t="s">
        <v>374</v>
      </c>
      <c r="C14" s="10">
        <v>32</v>
      </c>
      <c r="D14" s="10">
        <v>32</v>
      </c>
      <c r="E14" s="27"/>
    </row>
    <row r="15" customHeight="1" spans="1:5">
      <c r="A15" s="6">
        <v>13</v>
      </c>
      <c r="B15" s="7" t="s">
        <v>375</v>
      </c>
      <c r="C15" s="10">
        <v>32</v>
      </c>
      <c r="D15" s="10">
        <v>32</v>
      </c>
      <c r="E15" s="27"/>
    </row>
    <row r="16" customHeight="1" spans="1:5">
      <c r="A16" s="6">
        <v>14</v>
      </c>
      <c r="B16" s="7" t="s">
        <v>376</v>
      </c>
      <c r="C16" s="10">
        <v>32</v>
      </c>
      <c r="D16" s="10">
        <v>32</v>
      </c>
      <c r="E16" s="27"/>
    </row>
    <row r="17" customHeight="1" spans="1:5">
      <c r="A17" s="6">
        <v>15</v>
      </c>
      <c r="B17" s="7" t="s">
        <v>377</v>
      </c>
      <c r="C17" s="10">
        <v>28</v>
      </c>
      <c r="D17" s="10">
        <v>28</v>
      </c>
      <c r="E17" s="28"/>
    </row>
    <row r="18" customHeight="1" spans="1:5">
      <c r="A18" s="6"/>
      <c r="B18" s="10"/>
      <c r="C18" s="10"/>
      <c r="D18" s="11"/>
      <c r="E18" s="12"/>
    </row>
    <row r="19" customHeight="1" spans="1:5">
      <c r="A19" s="6"/>
      <c r="B19" s="10"/>
      <c r="C19" s="10"/>
      <c r="D19" s="11"/>
      <c r="E19" s="12"/>
    </row>
    <row r="20" customHeight="1" spans="1:5">
      <c r="A20" s="6"/>
      <c r="B20" s="10"/>
      <c r="C20" s="10"/>
      <c r="D20" s="11"/>
      <c r="E20" s="12"/>
    </row>
    <row r="21" customHeight="1" spans="1:5">
      <c r="A21" s="6" t="s">
        <v>160</v>
      </c>
      <c r="B21" s="6"/>
      <c r="C21" s="6">
        <f>SUM(C3:C20)</f>
        <v>466.52</v>
      </c>
      <c r="D21" s="14">
        <f>SUM(D3:D20)</f>
        <v>466.52</v>
      </c>
      <c r="E21" s="6"/>
    </row>
    <row r="22" s="1" customFormat="1" customHeight="1" spans="1:2">
      <c r="A22" s="13" t="s">
        <v>161</v>
      </c>
      <c r="B22" s="13"/>
    </row>
  </sheetData>
  <mergeCells count="3">
    <mergeCell ref="A1:E1"/>
    <mergeCell ref="A21:B21"/>
    <mergeCell ref="E3:E17"/>
  </mergeCells>
  <pageMargins left="0.699305555555556" right="0.699305555555556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E3" sqref="E3:E6"/>
    </sheetView>
  </sheetViews>
  <sheetFormatPr defaultColWidth="8.75" defaultRowHeight="30" customHeight="1" outlineLevelCol="4"/>
  <cols>
    <col min="1" max="1" width="6.625" customWidth="1"/>
    <col min="2" max="2" width="22.125" customWidth="1"/>
    <col min="3" max="3" width="18" customWidth="1"/>
    <col min="4" max="4" width="20" customWidth="1"/>
    <col min="5" max="5" width="22.125" customWidth="1"/>
  </cols>
  <sheetData>
    <row r="1" ht="60" customHeight="1" spans="1:5">
      <c r="A1" s="2" t="s">
        <v>378</v>
      </c>
      <c r="B1" s="2"/>
      <c r="C1" s="2"/>
      <c r="D1" s="2"/>
      <c r="E1" s="2"/>
    </row>
    <row r="2" customHeight="1" spans="1:5">
      <c r="A2" s="3" t="s">
        <v>147</v>
      </c>
      <c r="B2" s="3" t="s">
        <v>148</v>
      </c>
      <c r="C2" s="4" t="s">
        <v>338</v>
      </c>
      <c r="D2" s="4" t="s">
        <v>339</v>
      </c>
      <c r="E2" s="5" t="s">
        <v>153</v>
      </c>
    </row>
    <row r="3" ht="32.25" customHeight="1" spans="1:5">
      <c r="A3" s="6">
        <v>1</v>
      </c>
      <c r="B3" s="7" t="s">
        <v>379</v>
      </c>
      <c r="C3" s="8">
        <v>8</v>
      </c>
      <c r="D3" s="8">
        <v>8</v>
      </c>
      <c r="E3" s="26" t="s">
        <v>363</v>
      </c>
    </row>
    <row r="4" ht="32.25" customHeight="1" spans="1:5">
      <c r="A4" s="6">
        <v>2</v>
      </c>
      <c r="B4" s="7" t="s">
        <v>380</v>
      </c>
      <c r="C4" s="8">
        <v>32.01</v>
      </c>
      <c r="D4" s="8">
        <v>32.01</v>
      </c>
      <c r="E4" s="27"/>
    </row>
    <row r="5" ht="32.25" customHeight="1" spans="1:5">
      <c r="A5" s="6">
        <v>3</v>
      </c>
      <c r="B5" s="7" t="s">
        <v>381</v>
      </c>
      <c r="C5" s="8">
        <v>32</v>
      </c>
      <c r="D5" s="8">
        <v>32</v>
      </c>
      <c r="E5" s="27"/>
    </row>
    <row r="6" ht="32.25" customHeight="1" spans="1:5">
      <c r="A6" s="6">
        <v>4</v>
      </c>
      <c r="B6" s="7" t="s">
        <v>382</v>
      </c>
      <c r="C6" s="8">
        <v>28</v>
      </c>
      <c r="D6" s="8">
        <v>28</v>
      </c>
      <c r="E6" s="28"/>
    </row>
    <row r="7" ht="32.25" customHeight="1" spans="1:5">
      <c r="A7" s="6">
        <v>5</v>
      </c>
      <c r="B7" s="7"/>
      <c r="C7" s="8"/>
      <c r="D7" s="8"/>
      <c r="E7" s="9"/>
    </row>
    <row r="8" ht="32.25" customHeight="1" spans="1:5">
      <c r="A8" s="6">
        <v>6</v>
      </c>
      <c r="B8" s="7"/>
      <c r="C8" s="8"/>
      <c r="D8" s="8"/>
      <c r="E8" s="9"/>
    </row>
    <row r="9" ht="32.25" customHeight="1" spans="1:5">
      <c r="A9" s="6">
        <v>7</v>
      </c>
      <c r="B9" s="7"/>
      <c r="C9" s="8"/>
      <c r="D9" s="8"/>
      <c r="E9" s="9"/>
    </row>
    <row r="10" ht="32.25" customHeight="1" spans="1:5">
      <c r="A10" s="6">
        <v>8</v>
      </c>
      <c r="B10" s="7"/>
      <c r="C10" s="8"/>
      <c r="D10" s="8"/>
      <c r="E10" s="9"/>
    </row>
    <row r="11" customHeight="1" spans="1:5">
      <c r="A11" s="6"/>
      <c r="B11" s="10"/>
      <c r="C11" s="10"/>
      <c r="D11" s="11"/>
      <c r="E11" s="12"/>
    </row>
    <row r="12" customHeight="1" spans="1:5">
      <c r="A12" s="6"/>
      <c r="B12" s="10"/>
      <c r="C12" s="10"/>
      <c r="D12" s="11"/>
      <c r="E12" s="12"/>
    </row>
    <row r="13" customHeight="1" spans="1:5">
      <c r="A13" s="6"/>
      <c r="B13" s="10"/>
      <c r="C13" s="10"/>
      <c r="D13" s="11"/>
      <c r="E13" s="12"/>
    </row>
    <row r="14" customHeight="1" spans="1:5">
      <c r="A14" s="6"/>
      <c r="B14" s="10"/>
      <c r="C14" s="10"/>
      <c r="D14" s="11"/>
      <c r="E14" s="12"/>
    </row>
    <row r="15" customHeight="1" spans="1:5">
      <c r="A15" s="6"/>
      <c r="B15" s="10"/>
      <c r="C15" s="10"/>
      <c r="D15" s="11"/>
      <c r="E15" s="12"/>
    </row>
    <row r="16" customHeight="1" spans="1:5">
      <c r="A16" s="6"/>
      <c r="B16" s="10"/>
      <c r="C16" s="10"/>
      <c r="D16" s="11"/>
      <c r="E16" s="12"/>
    </row>
    <row r="17" customHeight="1" spans="1:5">
      <c r="A17" s="6"/>
      <c r="B17" s="10"/>
      <c r="C17" s="10"/>
      <c r="D17" s="11"/>
      <c r="E17" s="12"/>
    </row>
    <row r="18" customHeight="1" spans="1:5">
      <c r="A18" s="6"/>
      <c r="B18" s="10"/>
      <c r="C18" s="10"/>
      <c r="D18" s="11"/>
      <c r="E18" s="12"/>
    </row>
    <row r="19" customHeight="1" spans="1:5">
      <c r="A19" s="6"/>
      <c r="B19" s="10"/>
      <c r="C19" s="10"/>
      <c r="D19" s="11"/>
      <c r="E19" s="12"/>
    </row>
    <row r="20" customHeight="1" spans="1:5">
      <c r="A20" s="6"/>
      <c r="B20" s="10"/>
      <c r="C20" s="10"/>
      <c r="D20" s="11"/>
      <c r="E20" s="12"/>
    </row>
    <row r="21" customHeight="1" spans="1:5">
      <c r="A21" s="6" t="s">
        <v>160</v>
      </c>
      <c r="B21" s="6"/>
      <c r="C21" s="6">
        <f>SUM(C3:C20)</f>
        <v>100.01</v>
      </c>
      <c r="D21" s="14">
        <f>SUM(D3:D20)</f>
        <v>100.01</v>
      </c>
      <c r="E21" s="6"/>
    </row>
    <row r="22" s="1" customFormat="1" customHeight="1" spans="1:2">
      <c r="A22" s="13" t="s">
        <v>161</v>
      </c>
      <c r="B22" s="13"/>
    </row>
  </sheetData>
  <mergeCells count="3">
    <mergeCell ref="A1:E1"/>
    <mergeCell ref="A21:B21"/>
    <mergeCell ref="E3:E6"/>
  </mergeCells>
  <pageMargins left="0.699305555555556" right="0.699305555555556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E3" sqref="E3"/>
    </sheetView>
  </sheetViews>
  <sheetFormatPr defaultColWidth="8.75" defaultRowHeight="30" customHeight="1" outlineLevelCol="4"/>
  <cols>
    <col min="1" max="1" width="6.625" customWidth="1"/>
    <col min="2" max="2" width="22.125" customWidth="1"/>
    <col min="3" max="3" width="18" customWidth="1"/>
    <col min="4" max="4" width="20" customWidth="1"/>
    <col min="5" max="5" width="22.125" customWidth="1"/>
  </cols>
  <sheetData>
    <row r="1" ht="60" customHeight="1" spans="1:5">
      <c r="A1" s="2" t="s">
        <v>383</v>
      </c>
      <c r="B1" s="2"/>
      <c r="C1" s="2"/>
      <c r="D1" s="2"/>
      <c r="E1" s="2"/>
    </row>
    <row r="2" customHeight="1" spans="1:5">
      <c r="A2" s="3" t="s">
        <v>147</v>
      </c>
      <c r="B2" s="3" t="s">
        <v>148</v>
      </c>
      <c r="C2" s="4" t="s">
        <v>338</v>
      </c>
      <c r="D2" s="4" t="s">
        <v>339</v>
      </c>
      <c r="E2" s="5" t="s">
        <v>153</v>
      </c>
    </row>
    <row r="3" ht="32.25" customHeight="1" spans="1:5">
      <c r="A3" s="6">
        <v>1</v>
      </c>
      <c r="B3" s="25"/>
      <c r="C3" s="8">
        <v>100</v>
      </c>
      <c r="D3" s="8">
        <v>100</v>
      </c>
      <c r="E3" s="9" t="s">
        <v>384</v>
      </c>
    </row>
    <row r="4" ht="32.25" customHeight="1" spans="1:5">
      <c r="A4" s="6">
        <v>2</v>
      </c>
      <c r="B4" s="7"/>
      <c r="C4" s="8"/>
      <c r="D4" s="8"/>
      <c r="E4" s="9"/>
    </row>
    <row r="5" ht="32.25" customHeight="1" spans="1:5">
      <c r="A5" s="6">
        <v>3</v>
      </c>
      <c r="B5" s="7"/>
      <c r="C5" s="8"/>
      <c r="D5" s="8"/>
      <c r="E5" s="9"/>
    </row>
    <row r="6" ht="32.25" customHeight="1" spans="1:5">
      <c r="A6" s="6">
        <v>4</v>
      </c>
      <c r="B6" s="7"/>
      <c r="C6" s="8"/>
      <c r="D6" s="8"/>
      <c r="E6" s="9"/>
    </row>
    <row r="7" ht="32.25" customHeight="1" spans="1:5">
      <c r="A7" s="6">
        <v>5</v>
      </c>
      <c r="B7" s="7"/>
      <c r="C7" s="8"/>
      <c r="D7" s="8"/>
      <c r="E7" s="9"/>
    </row>
    <row r="8" ht="32.25" customHeight="1" spans="1:5">
      <c r="A8" s="6">
        <v>6</v>
      </c>
      <c r="B8" s="7"/>
      <c r="C8" s="8"/>
      <c r="D8" s="8"/>
      <c r="E8" s="9"/>
    </row>
    <row r="9" ht="32.25" customHeight="1" spans="1:5">
      <c r="A9" s="6">
        <v>7</v>
      </c>
      <c r="B9" s="7"/>
      <c r="C9" s="8"/>
      <c r="D9" s="8"/>
      <c r="E9" s="9"/>
    </row>
    <row r="10" ht="32.25" customHeight="1" spans="1:5">
      <c r="A10" s="6">
        <v>8</v>
      </c>
      <c r="B10" s="7"/>
      <c r="C10" s="8"/>
      <c r="D10" s="8"/>
      <c r="E10" s="9"/>
    </row>
    <row r="11" customHeight="1" spans="1:5">
      <c r="A11" s="6"/>
      <c r="B11" s="10"/>
      <c r="C11" s="10"/>
      <c r="D11" s="11"/>
      <c r="E11" s="12"/>
    </row>
    <row r="12" customHeight="1" spans="1:5">
      <c r="A12" s="6"/>
      <c r="B12" s="10"/>
      <c r="C12" s="10"/>
      <c r="D12" s="11"/>
      <c r="E12" s="12"/>
    </row>
    <row r="13" customHeight="1" spans="1:5">
      <c r="A13" s="6"/>
      <c r="B13" s="10"/>
      <c r="C13" s="10"/>
      <c r="D13" s="11"/>
      <c r="E13" s="12"/>
    </row>
    <row r="14" customHeight="1" spans="1:5">
      <c r="A14" s="6"/>
      <c r="B14" s="10"/>
      <c r="C14" s="10"/>
      <c r="D14" s="11"/>
      <c r="E14" s="12"/>
    </row>
    <row r="15" customHeight="1" spans="1:5">
      <c r="A15" s="6"/>
      <c r="B15" s="10"/>
      <c r="C15" s="10"/>
      <c r="D15" s="11"/>
      <c r="E15" s="12"/>
    </row>
    <row r="16" customHeight="1" spans="1:5">
      <c r="A16" s="6"/>
      <c r="B16" s="10"/>
      <c r="C16" s="10"/>
      <c r="D16" s="11"/>
      <c r="E16" s="12"/>
    </row>
    <row r="17" customHeight="1" spans="1:5">
      <c r="A17" s="6"/>
      <c r="B17" s="10"/>
      <c r="C17" s="10"/>
      <c r="D17" s="11"/>
      <c r="E17" s="12"/>
    </row>
    <row r="18" customHeight="1" spans="1:5">
      <c r="A18" s="6"/>
      <c r="B18" s="10"/>
      <c r="C18" s="10"/>
      <c r="D18" s="11"/>
      <c r="E18" s="12"/>
    </row>
    <row r="19" customHeight="1" spans="1:5">
      <c r="A19" s="6"/>
      <c r="B19" s="10"/>
      <c r="C19" s="10"/>
      <c r="D19" s="11"/>
      <c r="E19" s="12"/>
    </row>
    <row r="20" customHeight="1" spans="1:5">
      <c r="A20" s="6"/>
      <c r="B20" s="10"/>
      <c r="C20" s="10"/>
      <c r="D20" s="11"/>
      <c r="E20" s="12"/>
    </row>
    <row r="21" customHeight="1" spans="1:5">
      <c r="A21" s="6" t="s">
        <v>160</v>
      </c>
      <c r="B21" s="6"/>
      <c r="C21" s="6">
        <f>SUM(C3:C20)</f>
        <v>100</v>
      </c>
      <c r="D21" s="14">
        <f>SUM(D3:D20)</f>
        <v>100</v>
      </c>
      <c r="E21" s="6"/>
    </row>
    <row r="22" s="1" customFormat="1" customHeight="1" spans="1:2">
      <c r="A22" s="13" t="s">
        <v>161</v>
      </c>
      <c r="B22" s="13"/>
    </row>
  </sheetData>
  <mergeCells count="2">
    <mergeCell ref="A1:E1"/>
    <mergeCell ref="A21:B21"/>
  </mergeCells>
  <pageMargins left="0.699305555555556" right="0.699305555555556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E5" sqref="E5"/>
    </sheetView>
  </sheetViews>
  <sheetFormatPr defaultColWidth="8.75" defaultRowHeight="30" customHeight="1" outlineLevelCol="4"/>
  <cols>
    <col min="1" max="1" width="6.625" customWidth="1"/>
    <col min="2" max="2" width="22.125" customWidth="1"/>
    <col min="3" max="3" width="18" customWidth="1"/>
    <col min="4" max="4" width="20" customWidth="1"/>
    <col min="5" max="5" width="22.125" customWidth="1"/>
  </cols>
  <sheetData>
    <row r="1" ht="60" customHeight="1" spans="1:5">
      <c r="A1" s="2" t="s">
        <v>385</v>
      </c>
      <c r="B1" s="2"/>
      <c r="C1" s="2"/>
      <c r="D1" s="2"/>
      <c r="E1" s="2"/>
    </row>
    <row r="2" customHeight="1" spans="1:5">
      <c r="A2" s="3" t="s">
        <v>147</v>
      </c>
      <c r="B2" s="3" t="s">
        <v>148</v>
      </c>
      <c r="C2" s="4" t="s">
        <v>386</v>
      </c>
      <c r="D2" s="4" t="s">
        <v>387</v>
      </c>
      <c r="E2" s="5" t="s">
        <v>153</v>
      </c>
    </row>
    <row r="3" ht="32.25" customHeight="1" spans="1:5">
      <c r="A3" s="6">
        <v>1</v>
      </c>
      <c r="B3" s="7" t="s">
        <v>354</v>
      </c>
      <c r="C3" s="8">
        <v>272</v>
      </c>
      <c r="D3" s="8">
        <v>272</v>
      </c>
      <c r="E3" s="9" t="s">
        <v>300</v>
      </c>
    </row>
    <row r="4" ht="32.25" customHeight="1" spans="1:5">
      <c r="A4" s="6">
        <v>2</v>
      </c>
      <c r="B4" s="7" t="s">
        <v>355</v>
      </c>
      <c r="C4" s="8">
        <v>1156</v>
      </c>
      <c r="D4" s="8">
        <v>1156</v>
      </c>
      <c r="E4" s="9" t="s">
        <v>300</v>
      </c>
    </row>
    <row r="5" ht="32.25" customHeight="1" spans="1:5">
      <c r="A5" s="6">
        <v>3</v>
      </c>
      <c r="B5" s="7" t="s">
        <v>356</v>
      </c>
      <c r="C5" s="8">
        <v>90</v>
      </c>
      <c r="D5" s="8">
        <v>90</v>
      </c>
      <c r="E5" s="9" t="s">
        <v>300</v>
      </c>
    </row>
    <row r="6" ht="32.25" customHeight="1" spans="1:5">
      <c r="A6" s="6">
        <v>4</v>
      </c>
      <c r="B6" s="7" t="s">
        <v>322</v>
      </c>
      <c r="C6" s="8">
        <v>40</v>
      </c>
      <c r="D6" s="8">
        <v>40</v>
      </c>
      <c r="E6" s="9" t="s">
        <v>300</v>
      </c>
    </row>
    <row r="7" ht="32.25" customHeight="1" spans="1:5">
      <c r="A7" s="6">
        <v>5</v>
      </c>
      <c r="B7" s="7" t="s">
        <v>357</v>
      </c>
      <c r="C7" s="8">
        <v>347</v>
      </c>
      <c r="D7" s="8">
        <v>347</v>
      </c>
      <c r="E7" s="9" t="s">
        <v>300</v>
      </c>
    </row>
    <row r="8" ht="32.25" customHeight="1" spans="1:5">
      <c r="A8" s="6">
        <v>6</v>
      </c>
      <c r="B8" s="7"/>
      <c r="C8" s="8"/>
      <c r="D8" s="8"/>
      <c r="E8" s="9"/>
    </row>
    <row r="9" ht="32.25" customHeight="1" spans="1:5">
      <c r="A9" s="6">
        <v>7</v>
      </c>
      <c r="B9" s="7"/>
      <c r="C9" s="8"/>
      <c r="D9" s="8"/>
      <c r="E9" s="9"/>
    </row>
    <row r="10" ht="32.25" customHeight="1" spans="1:5">
      <c r="A10" s="6">
        <v>8</v>
      </c>
      <c r="B10" s="7"/>
      <c r="C10" s="8"/>
      <c r="D10" s="8"/>
      <c r="E10" s="9"/>
    </row>
    <row r="11" customHeight="1" spans="1:5">
      <c r="A11" s="6"/>
      <c r="B11" s="10"/>
      <c r="C11" s="10"/>
      <c r="D11" s="11"/>
      <c r="E11" s="12"/>
    </row>
    <row r="12" customHeight="1" spans="1:5">
      <c r="A12" s="6"/>
      <c r="B12" s="10"/>
      <c r="C12" s="10"/>
      <c r="D12" s="11"/>
      <c r="E12" s="12"/>
    </row>
    <row r="13" customHeight="1" spans="1:5">
      <c r="A13" s="6"/>
      <c r="B13" s="10"/>
      <c r="C13" s="10"/>
      <c r="D13" s="11"/>
      <c r="E13" s="12"/>
    </row>
    <row r="14" customHeight="1" spans="1:5">
      <c r="A14" s="6"/>
      <c r="B14" s="10"/>
      <c r="C14" s="10"/>
      <c r="D14" s="11"/>
      <c r="E14" s="12"/>
    </row>
    <row r="15" customHeight="1" spans="1:5">
      <c r="A15" s="6"/>
      <c r="B15" s="10"/>
      <c r="C15" s="10"/>
      <c r="D15" s="11"/>
      <c r="E15" s="12"/>
    </row>
    <row r="16" customHeight="1" spans="1:5">
      <c r="A16" s="6"/>
      <c r="B16" s="10"/>
      <c r="C16" s="10"/>
      <c r="D16" s="11"/>
      <c r="E16" s="12"/>
    </row>
    <row r="17" customHeight="1" spans="1:5">
      <c r="A17" s="6"/>
      <c r="B17" s="10"/>
      <c r="C17" s="10"/>
      <c r="D17" s="11"/>
      <c r="E17" s="12"/>
    </row>
    <row r="18" customHeight="1" spans="1:5">
      <c r="A18" s="6"/>
      <c r="B18" s="10"/>
      <c r="C18" s="10"/>
      <c r="D18" s="11"/>
      <c r="E18" s="12"/>
    </row>
    <row r="19" customHeight="1" spans="1:5">
      <c r="A19" s="6"/>
      <c r="B19" s="10"/>
      <c r="C19" s="10"/>
      <c r="D19" s="11"/>
      <c r="E19" s="12"/>
    </row>
    <row r="20" customHeight="1" spans="1:5">
      <c r="A20" s="6"/>
      <c r="B20" s="10"/>
      <c r="C20" s="10"/>
      <c r="D20" s="11"/>
      <c r="E20" s="12"/>
    </row>
    <row r="21" customHeight="1" spans="1:5">
      <c r="A21" s="6" t="s">
        <v>160</v>
      </c>
      <c r="B21" s="6"/>
      <c r="C21" s="6">
        <f>SUM(C3:C20)</f>
        <v>1905</v>
      </c>
      <c r="D21" s="14">
        <f>SUM(D3:D20)</f>
        <v>1905</v>
      </c>
      <c r="E21" s="6"/>
    </row>
    <row r="22" s="1" customFormat="1" customHeight="1" spans="1:2">
      <c r="A22" s="13" t="s">
        <v>161</v>
      </c>
      <c r="B22" s="13"/>
    </row>
  </sheetData>
  <mergeCells count="2">
    <mergeCell ref="A1:E1"/>
    <mergeCell ref="A21:B21"/>
  </mergeCells>
  <pageMargins left="0.699305555555556" right="0.699305555555556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3" sqref="A3:A12"/>
    </sheetView>
  </sheetViews>
  <sheetFormatPr defaultColWidth="8.75" defaultRowHeight="30" customHeight="1" outlineLevelCol="4"/>
  <cols>
    <col min="1" max="1" width="6.625" customWidth="1"/>
    <col min="2" max="2" width="22.125" customWidth="1"/>
    <col min="3" max="3" width="18" customWidth="1"/>
    <col min="4" max="4" width="20" customWidth="1"/>
    <col min="5" max="5" width="22.125" customWidth="1"/>
  </cols>
  <sheetData>
    <row r="1" ht="60" customHeight="1" spans="1:5">
      <c r="A1" s="2" t="s">
        <v>388</v>
      </c>
      <c r="B1" s="2"/>
      <c r="C1" s="2"/>
      <c r="D1" s="2"/>
      <c r="E1" s="2"/>
    </row>
    <row r="2" customHeight="1" spans="1:5">
      <c r="A2" s="3" t="s">
        <v>147</v>
      </c>
      <c r="B2" s="3" t="s">
        <v>148</v>
      </c>
      <c r="C2" s="4" t="s">
        <v>389</v>
      </c>
      <c r="D2" s="4" t="s">
        <v>390</v>
      </c>
      <c r="E2" s="5" t="s">
        <v>153</v>
      </c>
    </row>
    <row r="3" ht="32.25" customHeight="1" spans="1:5">
      <c r="A3" s="6">
        <v>1</v>
      </c>
      <c r="B3" s="7" t="s">
        <v>342</v>
      </c>
      <c r="C3" s="8">
        <v>1</v>
      </c>
      <c r="D3" s="8">
        <v>1</v>
      </c>
      <c r="E3" s="9" t="s">
        <v>343</v>
      </c>
    </row>
    <row r="4" ht="32.25" customHeight="1" spans="1:5">
      <c r="A4" s="6">
        <v>2</v>
      </c>
      <c r="B4" s="7" t="s">
        <v>344</v>
      </c>
      <c r="C4" s="8">
        <v>1</v>
      </c>
      <c r="D4" s="8">
        <v>1</v>
      </c>
      <c r="E4" s="9" t="s">
        <v>343</v>
      </c>
    </row>
    <row r="5" ht="32.25" customHeight="1" spans="1:5">
      <c r="A5" s="6">
        <v>3</v>
      </c>
      <c r="B5" s="7" t="s">
        <v>345</v>
      </c>
      <c r="C5" s="8">
        <v>1</v>
      </c>
      <c r="D5" s="8">
        <v>1</v>
      </c>
      <c r="E5" s="9" t="s">
        <v>343</v>
      </c>
    </row>
    <row r="6" ht="32.25" customHeight="1" spans="1:5">
      <c r="A6" s="6">
        <v>4</v>
      </c>
      <c r="B6" s="7" t="s">
        <v>346</v>
      </c>
      <c r="C6" s="8">
        <v>1</v>
      </c>
      <c r="D6" s="8">
        <v>1</v>
      </c>
      <c r="E6" s="9" t="s">
        <v>343</v>
      </c>
    </row>
    <row r="7" ht="32.25" customHeight="1" spans="1:5">
      <c r="A7" s="6">
        <v>5</v>
      </c>
      <c r="B7" s="7" t="s">
        <v>347</v>
      </c>
      <c r="C7" s="8">
        <v>1</v>
      </c>
      <c r="D7" s="8">
        <v>1</v>
      </c>
      <c r="E7" s="9" t="s">
        <v>343</v>
      </c>
    </row>
    <row r="8" ht="32.25" customHeight="1" spans="1:5">
      <c r="A8" s="6">
        <v>6</v>
      </c>
      <c r="B8" s="7" t="s">
        <v>348</v>
      </c>
      <c r="C8" s="8">
        <v>1</v>
      </c>
      <c r="D8" s="8">
        <v>1</v>
      </c>
      <c r="E8" s="9" t="s">
        <v>343</v>
      </c>
    </row>
    <row r="9" ht="32.25" customHeight="1" spans="1:5">
      <c r="A9" s="6">
        <v>7</v>
      </c>
      <c r="B9" s="7" t="s">
        <v>349</v>
      </c>
      <c r="C9" s="8">
        <v>1</v>
      </c>
      <c r="D9" s="8">
        <v>1</v>
      </c>
      <c r="E9" s="9" t="s">
        <v>343</v>
      </c>
    </row>
    <row r="10" ht="32.25" customHeight="1" spans="1:5">
      <c r="A10" s="6">
        <v>8</v>
      </c>
      <c r="B10" s="7" t="s">
        <v>350</v>
      </c>
      <c r="C10" s="8">
        <v>1</v>
      </c>
      <c r="D10" s="8">
        <v>1</v>
      </c>
      <c r="E10" s="9" t="s">
        <v>343</v>
      </c>
    </row>
    <row r="11" customHeight="1" spans="1:5">
      <c r="A11" s="6">
        <v>9</v>
      </c>
      <c r="B11" s="10" t="s">
        <v>351</v>
      </c>
      <c r="C11" s="8">
        <v>1</v>
      </c>
      <c r="D11" s="8">
        <v>1</v>
      </c>
      <c r="E11" s="9" t="s">
        <v>343</v>
      </c>
    </row>
    <row r="12" customHeight="1" spans="1:5">
      <c r="A12" s="6">
        <v>10</v>
      </c>
      <c r="B12" s="10" t="s">
        <v>352</v>
      </c>
      <c r="C12" s="8">
        <v>1</v>
      </c>
      <c r="D12" s="8">
        <v>1</v>
      </c>
      <c r="E12" s="9" t="s">
        <v>343</v>
      </c>
    </row>
    <row r="13" customHeight="1" spans="1:5">
      <c r="A13" s="6"/>
      <c r="B13" s="10"/>
      <c r="C13" s="10"/>
      <c r="D13" s="11"/>
      <c r="E13" s="12"/>
    </row>
    <row r="14" customHeight="1" spans="1:5">
      <c r="A14" s="6"/>
      <c r="B14" s="10"/>
      <c r="C14" s="10"/>
      <c r="D14" s="11"/>
      <c r="E14" s="12"/>
    </row>
    <row r="15" customHeight="1" spans="1:5">
      <c r="A15" s="6"/>
      <c r="B15" s="10"/>
      <c r="C15" s="10"/>
      <c r="D15" s="11"/>
      <c r="E15" s="12"/>
    </row>
    <row r="16" customHeight="1" spans="1:5">
      <c r="A16" s="6"/>
      <c r="B16" s="10"/>
      <c r="C16" s="10"/>
      <c r="D16" s="11"/>
      <c r="E16" s="12"/>
    </row>
    <row r="17" customHeight="1" spans="1:5">
      <c r="A17" s="6"/>
      <c r="B17" s="10"/>
      <c r="C17" s="10"/>
      <c r="D17" s="11"/>
      <c r="E17" s="12"/>
    </row>
    <row r="18" customHeight="1" spans="1:5">
      <c r="A18" s="6"/>
      <c r="B18" s="10"/>
      <c r="C18" s="10"/>
      <c r="D18" s="11"/>
      <c r="E18" s="12"/>
    </row>
    <row r="19" customHeight="1" spans="1:5">
      <c r="A19" s="6"/>
      <c r="B19" s="10"/>
      <c r="C19" s="10"/>
      <c r="D19" s="11"/>
      <c r="E19" s="12"/>
    </row>
    <row r="20" customHeight="1" spans="1:5">
      <c r="A20" s="6"/>
      <c r="B20" s="10"/>
      <c r="C20" s="10"/>
      <c r="D20" s="11"/>
      <c r="E20" s="12"/>
    </row>
    <row r="21" customHeight="1" spans="1:5">
      <c r="A21" s="6" t="s">
        <v>160</v>
      </c>
      <c r="B21" s="6"/>
      <c r="C21" s="6">
        <f>SUM(C3:C20)</f>
        <v>10</v>
      </c>
      <c r="D21" s="14">
        <f>SUM(D3:D20)</f>
        <v>10</v>
      </c>
      <c r="E21" s="6"/>
    </row>
    <row r="22" s="1" customFormat="1" customHeight="1" spans="1:2">
      <c r="A22" s="13" t="s">
        <v>161</v>
      </c>
      <c r="B22" s="13"/>
    </row>
  </sheetData>
  <mergeCells count="2">
    <mergeCell ref="A1:E1"/>
    <mergeCell ref="A21:B21"/>
  </mergeCells>
  <pageMargins left="0.699305555555556" right="0.699305555555556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E3" sqref="E3"/>
    </sheetView>
  </sheetViews>
  <sheetFormatPr defaultColWidth="8.75" defaultRowHeight="30" customHeight="1" outlineLevelCol="4"/>
  <cols>
    <col min="1" max="1" width="6.625" customWidth="1"/>
    <col min="2" max="2" width="22.125" customWidth="1"/>
    <col min="3" max="3" width="18" customWidth="1"/>
    <col min="4" max="4" width="20" customWidth="1"/>
    <col min="5" max="5" width="22.125" customWidth="1"/>
  </cols>
  <sheetData>
    <row r="1" ht="60" customHeight="1" spans="1:5">
      <c r="A1" s="2" t="s">
        <v>391</v>
      </c>
      <c r="B1" s="2"/>
      <c r="C1" s="2"/>
      <c r="D1" s="2"/>
      <c r="E1" s="2"/>
    </row>
    <row r="2" customHeight="1" spans="1:5">
      <c r="A2" s="3" t="s">
        <v>147</v>
      </c>
      <c r="B2" s="3" t="s">
        <v>148</v>
      </c>
      <c r="C2" s="4" t="s">
        <v>392</v>
      </c>
      <c r="D2" s="4" t="s">
        <v>390</v>
      </c>
      <c r="E2" s="5" t="s">
        <v>153</v>
      </c>
    </row>
    <row r="3" ht="32.25" customHeight="1" spans="1:5">
      <c r="A3" s="6">
        <v>1</v>
      </c>
      <c r="B3" s="7" t="s">
        <v>393</v>
      </c>
      <c r="C3" s="8">
        <v>15</v>
      </c>
      <c r="D3" s="8">
        <v>15</v>
      </c>
      <c r="E3" s="9" t="s">
        <v>363</v>
      </c>
    </row>
    <row r="4" ht="32.25" customHeight="1" spans="1:5">
      <c r="A4" s="6">
        <v>2</v>
      </c>
      <c r="B4" s="7"/>
      <c r="C4" s="8"/>
      <c r="D4" s="8"/>
      <c r="E4" s="9"/>
    </row>
    <row r="5" ht="32.25" customHeight="1" spans="1:5">
      <c r="A5" s="6">
        <v>3</v>
      </c>
      <c r="B5" s="7"/>
      <c r="C5" s="8"/>
      <c r="D5" s="8"/>
      <c r="E5" s="9"/>
    </row>
    <row r="6" ht="32.25" customHeight="1" spans="1:5">
      <c r="A6" s="6">
        <v>4</v>
      </c>
      <c r="B6" s="7"/>
      <c r="C6" s="8"/>
      <c r="D6" s="8"/>
      <c r="E6" s="9"/>
    </row>
    <row r="7" ht="32.25" customHeight="1" spans="1:5">
      <c r="A7" s="6">
        <v>5</v>
      </c>
      <c r="B7" s="7"/>
      <c r="C7" s="8"/>
      <c r="D7" s="8"/>
      <c r="E7" s="9"/>
    </row>
    <row r="8" ht="32.25" customHeight="1" spans="1:5">
      <c r="A8" s="6">
        <v>6</v>
      </c>
      <c r="B8" s="7"/>
      <c r="C8" s="8"/>
      <c r="D8" s="8"/>
      <c r="E8" s="9"/>
    </row>
    <row r="9" ht="32.25" customHeight="1" spans="1:5">
      <c r="A9" s="6">
        <v>7</v>
      </c>
      <c r="B9" s="7"/>
      <c r="C9" s="8"/>
      <c r="D9" s="8"/>
      <c r="E9" s="9"/>
    </row>
    <row r="10" ht="32.25" customHeight="1" spans="1:5">
      <c r="A10" s="6">
        <v>8</v>
      </c>
      <c r="B10" s="7"/>
      <c r="C10" s="8"/>
      <c r="D10" s="8"/>
      <c r="E10" s="9"/>
    </row>
    <row r="11" customHeight="1" spans="1:5">
      <c r="A11" s="6"/>
      <c r="B11" s="10"/>
      <c r="C11" s="10"/>
      <c r="D11" s="11"/>
      <c r="E11" s="12"/>
    </row>
    <row r="12" customHeight="1" spans="1:5">
      <c r="A12" s="6"/>
      <c r="B12" s="10"/>
      <c r="C12" s="10"/>
      <c r="D12" s="11"/>
      <c r="E12" s="12"/>
    </row>
    <row r="13" customHeight="1" spans="1:5">
      <c r="A13" s="6"/>
      <c r="B13" s="10"/>
      <c r="C13" s="10"/>
      <c r="D13" s="11"/>
      <c r="E13" s="12"/>
    </row>
    <row r="14" customHeight="1" spans="1:5">
      <c r="A14" s="6"/>
      <c r="B14" s="10"/>
      <c r="C14" s="10"/>
      <c r="D14" s="11"/>
      <c r="E14" s="12"/>
    </row>
    <row r="15" customHeight="1" spans="1:5">
      <c r="A15" s="6"/>
      <c r="B15" s="10"/>
      <c r="C15" s="10"/>
      <c r="D15" s="11"/>
      <c r="E15" s="12"/>
    </row>
    <row r="16" customHeight="1" spans="1:5">
      <c r="A16" s="6"/>
      <c r="B16" s="10"/>
      <c r="C16" s="10"/>
      <c r="D16" s="11"/>
      <c r="E16" s="12"/>
    </row>
    <row r="17" customHeight="1" spans="1:5">
      <c r="A17" s="6"/>
      <c r="B17" s="10"/>
      <c r="C17" s="10"/>
      <c r="D17" s="11"/>
      <c r="E17" s="12"/>
    </row>
    <row r="18" customHeight="1" spans="1:5">
      <c r="A18" s="6"/>
      <c r="B18" s="10"/>
      <c r="C18" s="10"/>
      <c r="D18" s="11"/>
      <c r="E18" s="12"/>
    </row>
    <row r="19" customHeight="1" spans="1:5">
      <c r="A19" s="6"/>
      <c r="B19" s="10"/>
      <c r="C19" s="10"/>
      <c r="D19" s="11"/>
      <c r="E19" s="12"/>
    </row>
    <row r="20" customHeight="1" spans="1:5">
      <c r="A20" s="6"/>
      <c r="B20" s="10"/>
      <c r="C20" s="10"/>
      <c r="D20" s="11"/>
      <c r="E20" s="12"/>
    </row>
    <row r="21" customHeight="1" spans="1:5">
      <c r="A21" s="6" t="s">
        <v>160</v>
      </c>
      <c r="B21" s="6"/>
      <c r="C21" s="6">
        <f>SUM(C3:C20)</f>
        <v>15</v>
      </c>
      <c r="D21" s="14">
        <f>SUM(D3:D20)</f>
        <v>15</v>
      </c>
      <c r="E21" s="6"/>
    </row>
    <row r="22" s="1" customFormat="1" customHeight="1" spans="1:2">
      <c r="A22" s="13" t="s">
        <v>161</v>
      </c>
      <c r="B22" s="13"/>
    </row>
  </sheetData>
  <mergeCells count="2">
    <mergeCell ref="A1:E1"/>
    <mergeCell ref="A21:B21"/>
  </mergeCells>
  <pageMargins left="0.699305555555556" right="0.699305555555556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E3" sqref="B3:E3"/>
    </sheetView>
  </sheetViews>
  <sheetFormatPr defaultColWidth="8.75" defaultRowHeight="30" customHeight="1" outlineLevelCol="4"/>
  <cols>
    <col min="1" max="1" width="6.625" customWidth="1"/>
    <col min="2" max="2" width="22.125" customWidth="1"/>
    <col min="3" max="3" width="18" customWidth="1"/>
    <col min="4" max="4" width="20" customWidth="1"/>
    <col min="5" max="5" width="22.125" customWidth="1"/>
  </cols>
  <sheetData>
    <row r="1" ht="60" customHeight="1" spans="1:5">
      <c r="A1" s="2" t="s">
        <v>394</v>
      </c>
      <c r="B1" s="2"/>
      <c r="C1" s="2"/>
      <c r="D1" s="2"/>
      <c r="E1" s="2"/>
    </row>
    <row r="2" customHeight="1" spans="1:5">
      <c r="A2" s="3" t="s">
        <v>147</v>
      </c>
      <c r="B2" s="3" t="s">
        <v>148</v>
      </c>
      <c r="C2" s="4" t="s">
        <v>392</v>
      </c>
      <c r="D2" s="4" t="s">
        <v>390</v>
      </c>
      <c r="E2" s="5" t="s">
        <v>153</v>
      </c>
    </row>
    <row r="3" ht="32.25" customHeight="1" spans="1:5">
      <c r="A3" s="6">
        <v>1</v>
      </c>
      <c r="B3" s="7" t="s">
        <v>395</v>
      </c>
      <c r="C3" s="8">
        <v>4</v>
      </c>
      <c r="D3" s="8">
        <v>4</v>
      </c>
      <c r="E3" s="9" t="s">
        <v>363</v>
      </c>
    </row>
    <row r="4" ht="32.25" customHeight="1" spans="1:5">
      <c r="A4" s="6">
        <v>2</v>
      </c>
      <c r="B4" s="7"/>
      <c r="C4" s="8"/>
      <c r="D4" s="8"/>
      <c r="E4" s="9"/>
    </row>
    <row r="5" ht="32.25" customHeight="1" spans="1:5">
      <c r="A5" s="6">
        <v>3</v>
      </c>
      <c r="B5" s="7"/>
      <c r="C5" s="8"/>
      <c r="D5" s="8"/>
      <c r="E5" s="9"/>
    </row>
    <row r="6" ht="32.25" customHeight="1" spans="1:5">
      <c r="A6" s="6">
        <v>4</v>
      </c>
      <c r="B6" s="7"/>
      <c r="C6" s="8"/>
      <c r="D6" s="8"/>
      <c r="E6" s="9"/>
    </row>
    <row r="7" ht="32.25" customHeight="1" spans="1:5">
      <c r="A7" s="6">
        <v>5</v>
      </c>
      <c r="B7" s="7"/>
      <c r="C7" s="8"/>
      <c r="D7" s="8"/>
      <c r="E7" s="9"/>
    </row>
    <row r="8" ht="32.25" customHeight="1" spans="1:5">
      <c r="A8" s="6">
        <v>6</v>
      </c>
      <c r="B8" s="7"/>
      <c r="C8" s="8"/>
      <c r="D8" s="8"/>
      <c r="E8" s="9"/>
    </row>
    <row r="9" ht="32.25" customHeight="1" spans="1:5">
      <c r="A9" s="6">
        <v>7</v>
      </c>
      <c r="B9" s="7"/>
      <c r="C9" s="8"/>
      <c r="D9" s="8"/>
      <c r="E9" s="9"/>
    </row>
    <row r="10" ht="32.25" customHeight="1" spans="1:5">
      <c r="A10" s="6">
        <v>8</v>
      </c>
      <c r="B10" s="7"/>
      <c r="C10" s="8"/>
      <c r="D10" s="8"/>
      <c r="E10" s="9"/>
    </row>
    <row r="11" customHeight="1" spans="1:5">
      <c r="A11" s="6"/>
      <c r="B11" s="10"/>
      <c r="C11" s="10"/>
      <c r="D11" s="11"/>
      <c r="E11" s="12"/>
    </row>
    <row r="12" customHeight="1" spans="1:5">
      <c r="A12" s="6"/>
      <c r="B12" s="10"/>
      <c r="C12" s="10"/>
      <c r="D12" s="11"/>
      <c r="E12" s="12"/>
    </row>
    <row r="13" customHeight="1" spans="1:5">
      <c r="A13" s="6"/>
      <c r="B13" s="10"/>
      <c r="C13" s="10"/>
      <c r="D13" s="11"/>
      <c r="E13" s="12"/>
    </row>
    <row r="14" customHeight="1" spans="1:5">
      <c r="A14" s="6"/>
      <c r="B14" s="10"/>
      <c r="C14" s="10"/>
      <c r="D14" s="11"/>
      <c r="E14" s="12"/>
    </row>
    <row r="15" customHeight="1" spans="1:5">
      <c r="A15" s="6"/>
      <c r="B15" s="10"/>
      <c r="C15" s="10"/>
      <c r="D15" s="11"/>
      <c r="E15" s="12"/>
    </row>
    <row r="16" customHeight="1" spans="1:5">
      <c r="A16" s="6"/>
      <c r="B16" s="10"/>
      <c r="C16" s="10"/>
      <c r="D16" s="11"/>
      <c r="E16" s="12"/>
    </row>
    <row r="17" customHeight="1" spans="1:5">
      <c r="A17" s="6"/>
      <c r="B17" s="10"/>
      <c r="C17" s="10"/>
      <c r="D17" s="11"/>
      <c r="E17" s="12"/>
    </row>
    <row r="18" customHeight="1" spans="1:5">
      <c r="A18" s="6"/>
      <c r="B18" s="10"/>
      <c r="C18" s="10"/>
      <c r="D18" s="11"/>
      <c r="E18" s="12"/>
    </row>
    <row r="19" customHeight="1" spans="1:5">
      <c r="A19" s="6"/>
      <c r="B19" s="10"/>
      <c r="C19" s="10"/>
      <c r="D19" s="11"/>
      <c r="E19" s="12"/>
    </row>
    <row r="20" customHeight="1" spans="1:5">
      <c r="A20" s="6"/>
      <c r="B20" s="10"/>
      <c r="C20" s="10"/>
      <c r="D20" s="11"/>
      <c r="E20" s="12"/>
    </row>
    <row r="21" customHeight="1" spans="1:5">
      <c r="A21" s="6" t="s">
        <v>160</v>
      </c>
      <c r="B21" s="6"/>
      <c r="C21" s="6">
        <f>SUM(C3:C20)</f>
        <v>4</v>
      </c>
      <c r="D21" s="14">
        <f>SUM(D3:D20)</f>
        <v>4</v>
      </c>
      <c r="E21" s="6"/>
    </row>
    <row r="22" s="1" customFormat="1" customHeight="1" spans="1:2">
      <c r="A22" s="13" t="s">
        <v>161</v>
      </c>
      <c r="B22" s="13"/>
    </row>
  </sheetData>
  <mergeCells count="2">
    <mergeCell ref="A1:E1"/>
    <mergeCell ref="A21:B21"/>
  </mergeCells>
  <pageMargins left="0.699305555555556" right="0.699305555555556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E3" sqref="E3"/>
    </sheetView>
  </sheetViews>
  <sheetFormatPr defaultColWidth="8.75" defaultRowHeight="30" customHeight="1" outlineLevelCol="4"/>
  <cols>
    <col min="1" max="1" width="6.625" customWidth="1"/>
    <col min="2" max="2" width="22.125" customWidth="1"/>
    <col min="3" max="3" width="18" customWidth="1"/>
    <col min="4" max="4" width="20" customWidth="1"/>
    <col min="5" max="5" width="22.125" customWidth="1"/>
  </cols>
  <sheetData>
    <row r="1" ht="60" customHeight="1" spans="1:5">
      <c r="A1" s="2" t="s">
        <v>396</v>
      </c>
      <c r="B1" s="2"/>
      <c r="C1" s="2"/>
      <c r="D1" s="2"/>
      <c r="E1" s="2"/>
    </row>
    <row r="2" customHeight="1" spans="1:5">
      <c r="A2" s="3" t="s">
        <v>147</v>
      </c>
      <c r="B2" s="3" t="s">
        <v>148</v>
      </c>
      <c r="C2" s="4" t="s">
        <v>392</v>
      </c>
      <c r="D2" s="4" t="s">
        <v>390</v>
      </c>
      <c r="E2" s="5" t="s">
        <v>153</v>
      </c>
    </row>
    <row r="3" ht="32.25" customHeight="1" spans="1:5">
      <c r="A3" s="6">
        <v>1</v>
      </c>
      <c r="B3" s="7" t="s">
        <v>397</v>
      </c>
      <c r="C3" s="8">
        <v>32</v>
      </c>
      <c r="D3" s="8">
        <v>32</v>
      </c>
      <c r="E3" s="9" t="s">
        <v>398</v>
      </c>
    </row>
    <row r="4" ht="32.25" customHeight="1" spans="1:5">
      <c r="A4" s="6">
        <v>2</v>
      </c>
      <c r="B4" s="7"/>
      <c r="C4" s="8"/>
      <c r="D4" s="8"/>
      <c r="E4" s="9"/>
    </row>
    <row r="5" ht="32.25" customHeight="1" spans="1:5">
      <c r="A5" s="6">
        <v>3</v>
      </c>
      <c r="B5" s="7"/>
      <c r="C5" s="8"/>
      <c r="D5" s="8"/>
      <c r="E5" s="9"/>
    </row>
    <row r="6" ht="32.25" customHeight="1" spans="1:5">
      <c r="A6" s="6">
        <v>4</v>
      </c>
      <c r="B6" s="7"/>
      <c r="C6" s="8"/>
      <c r="D6" s="8"/>
      <c r="E6" s="9"/>
    </row>
    <row r="7" ht="32.25" customHeight="1" spans="1:5">
      <c r="A7" s="6">
        <v>5</v>
      </c>
      <c r="B7" s="7"/>
      <c r="C7" s="8"/>
      <c r="D7" s="8"/>
      <c r="E7" s="9"/>
    </row>
    <row r="8" ht="32.25" customHeight="1" spans="1:5">
      <c r="A8" s="6">
        <v>6</v>
      </c>
      <c r="B8" s="7"/>
      <c r="C8" s="8"/>
      <c r="D8" s="8"/>
      <c r="E8" s="9"/>
    </row>
    <row r="9" ht="32.25" customHeight="1" spans="1:5">
      <c r="A9" s="6">
        <v>7</v>
      </c>
      <c r="B9" s="7"/>
      <c r="C9" s="8"/>
      <c r="D9" s="8"/>
      <c r="E9" s="9"/>
    </row>
    <row r="10" ht="32.25" customHeight="1" spans="1:5">
      <c r="A10" s="6">
        <v>8</v>
      </c>
      <c r="B10" s="7"/>
      <c r="C10" s="8"/>
      <c r="D10" s="8"/>
      <c r="E10" s="9"/>
    </row>
    <row r="11" customHeight="1" spans="1:5">
      <c r="A11" s="6"/>
      <c r="B11" s="10"/>
      <c r="C11" s="10"/>
      <c r="D11" s="11"/>
      <c r="E11" s="12"/>
    </row>
    <row r="12" customHeight="1" spans="1:5">
      <c r="A12" s="6"/>
      <c r="B12" s="10"/>
      <c r="C12" s="10"/>
      <c r="D12" s="11"/>
      <c r="E12" s="12"/>
    </row>
    <row r="13" customHeight="1" spans="1:5">
      <c r="A13" s="6"/>
      <c r="B13" s="10"/>
      <c r="C13" s="10"/>
      <c r="D13" s="11"/>
      <c r="E13" s="12"/>
    </row>
    <row r="14" customHeight="1" spans="1:5">
      <c r="A14" s="6"/>
      <c r="B14" s="10"/>
      <c r="C14" s="10"/>
      <c r="D14" s="11"/>
      <c r="E14" s="12"/>
    </row>
    <row r="15" customHeight="1" spans="1:5">
      <c r="A15" s="6"/>
      <c r="B15" s="10"/>
      <c r="C15" s="10"/>
      <c r="D15" s="11"/>
      <c r="E15" s="12"/>
    </row>
    <row r="16" customHeight="1" spans="1:5">
      <c r="A16" s="6"/>
      <c r="B16" s="10"/>
      <c r="C16" s="10"/>
      <c r="D16" s="11"/>
      <c r="E16" s="12"/>
    </row>
    <row r="17" customHeight="1" spans="1:5">
      <c r="A17" s="6"/>
      <c r="B17" s="10"/>
      <c r="C17" s="10"/>
      <c r="D17" s="11"/>
      <c r="E17" s="12"/>
    </row>
    <row r="18" customHeight="1" spans="1:5">
      <c r="A18" s="6"/>
      <c r="B18" s="10"/>
      <c r="C18" s="10"/>
      <c r="D18" s="11"/>
      <c r="E18" s="12"/>
    </row>
    <row r="19" customHeight="1" spans="1:5">
      <c r="A19" s="6"/>
      <c r="B19" s="10"/>
      <c r="C19" s="10"/>
      <c r="D19" s="11"/>
      <c r="E19" s="12"/>
    </row>
    <row r="20" customHeight="1" spans="1:5">
      <c r="A20" s="6"/>
      <c r="B20" s="10"/>
      <c r="C20" s="10"/>
      <c r="D20" s="11"/>
      <c r="E20" s="12"/>
    </row>
    <row r="21" customHeight="1" spans="1:5">
      <c r="A21" s="6" t="s">
        <v>160</v>
      </c>
      <c r="B21" s="6"/>
      <c r="C21" s="6">
        <f>SUM(C3:C20)</f>
        <v>32</v>
      </c>
      <c r="D21" s="14">
        <f>SUM(D3:D20)</f>
        <v>32</v>
      </c>
      <c r="E21" s="6"/>
    </row>
    <row r="22" s="1" customFormat="1" customHeight="1" spans="1:2">
      <c r="A22" s="13" t="s">
        <v>161</v>
      </c>
      <c r="B22" s="13"/>
    </row>
  </sheetData>
  <mergeCells count="2">
    <mergeCell ref="A1:E1"/>
    <mergeCell ref="A21:B21"/>
  </mergeCells>
  <pageMargins left="0.699305555555556" right="0.699305555555556" top="0.75" bottom="0.75" header="0.3" footer="0.3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F39" sqref="F39"/>
    </sheetView>
  </sheetViews>
  <sheetFormatPr defaultColWidth="8.75" defaultRowHeight="30" customHeight="1" outlineLevelCol="7"/>
  <cols>
    <col min="1" max="1" width="6.625" customWidth="1"/>
    <col min="2" max="2" width="22.125" customWidth="1"/>
    <col min="3" max="3" width="6.25" customWidth="1"/>
    <col min="4" max="4" width="5.125" customWidth="1"/>
    <col min="5" max="5" width="14.875" customWidth="1"/>
    <col min="6" max="6" width="11.125" customWidth="1"/>
  </cols>
  <sheetData>
    <row r="1" ht="60" customHeight="1" spans="1:5">
      <c r="A1" s="2" t="s">
        <v>399</v>
      </c>
      <c r="B1" s="2"/>
      <c r="C1" s="2"/>
      <c r="D1" s="2"/>
      <c r="E1" s="2"/>
    </row>
    <row r="2" customHeight="1" spans="1:7">
      <c r="A2" s="15" t="s">
        <v>147</v>
      </c>
      <c r="B2" s="15" t="s">
        <v>148</v>
      </c>
      <c r="C2" s="16" t="s">
        <v>296</v>
      </c>
      <c r="D2" s="17"/>
      <c r="E2" s="18" t="s">
        <v>218</v>
      </c>
      <c r="F2" s="18" t="s">
        <v>219</v>
      </c>
      <c r="G2" s="19" t="s">
        <v>153</v>
      </c>
    </row>
    <row r="3" ht="32.25" customHeight="1" spans="1:7">
      <c r="A3" s="20"/>
      <c r="B3" s="20"/>
      <c r="C3" s="3" t="s">
        <v>297</v>
      </c>
      <c r="D3" s="3" t="s">
        <v>298</v>
      </c>
      <c r="E3" s="21"/>
      <c r="F3" s="21"/>
      <c r="G3" s="22"/>
    </row>
    <row r="4" ht="32.25" customHeight="1" spans="1:8">
      <c r="A4" s="6">
        <v>1</v>
      </c>
      <c r="B4" s="7" t="s">
        <v>299</v>
      </c>
      <c r="C4" s="7"/>
      <c r="D4" s="7">
        <v>16</v>
      </c>
      <c r="E4" s="8">
        <v>1.4</v>
      </c>
      <c r="F4" s="8">
        <v>1.4</v>
      </c>
      <c r="G4" s="9" t="s">
        <v>300</v>
      </c>
      <c r="H4" t="s">
        <v>301</v>
      </c>
    </row>
    <row r="5" ht="32.25" customHeight="1" spans="1:8">
      <c r="A5" s="6">
        <v>2</v>
      </c>
      <c r="B5" s="7" t="s">
        <v>302</v>
      </c>
      <c r="C5" s="7"/>
      <c r="D5" s="7">
        <v>15</v>
      </c>
      <c r="E5" s="8">
        <v>1.8</v>
      </c>
      <c r="F5" s="8">
        <v>1.8</v>
      </c>
      <c r="G5" s="9"/>
      <c r="H5" t="s">
        <v>303</v>
      </c>
    </row>
    <row r="6" ht="32.25" customHeight="1" spans="1:8">
      <c r="A6" s="6">
        <v>3</v>
      </c>
      <c r="B6" s="7" t="s">
        <v>304</v>
      </c>
      <c r="C6" s="7"/>
      <c r="D6" s="7">
        <v>179</v>
      </c>
      <c r="E6" s="8">
        <v>21.2</v>
      </c>
      <c r="F6" s="8">
        <v>21.2</v>
      </c>
      <c r="G6" s="9"/>
      <c r="H6" t="s">
        <v>303</v>
      </c>
    </row>
    <row r="7" ht="32.25" customHeight="1" spans="1:8">
      <c r="A7" s="6">
        <v>4</v>
      </c>
      <c r="B7" s="7" t="s">
        <v>305</v>
      </c>
      <c r="C7" s="7"/>
      <c r="D7" s="7">
        <v>20</v>
      </c>
      <c r="E7" s="8">
        <v>17.3</v>
      </c>
      <c r="F7" s="8">
        <v>17.3</v>
      </c>
      <c r="G7" s="9"/>
      <c r="H7" t="s">
        <v>301</v>
      </c>
    </row>
    <row r="8" ht="32.25" customHeight="1" spans="1:8">
      <c r="A8" s="6">
        <v>5</v>
      </c>
      <c r="B8" s="7" t="s">
        <v>306</v>
      </c>
      <c r="C8" s="7"/>
      <c r="D8" s="7">
        <v>200</v>
      </c>
      <c r="E8" s="8">
        <v>29.2</v>
      </c>
      <c r="F8" s="8">
        <v>29.2</v>
      </c>
      <c r="G8" s="9"/>
      <c r="H8" t="s">
        <v>301</v>
      </c>
    </row>
    <row r="9" ht="32.25" customHeight="1" spans="1:8">
      <c r="A9" s="6">
        <v>6</v>
      </c>
      <c r="B9" s="7" t="s">
        <v>307</v>
      </c>
      <c r="C9" s="7"/>
      <c r="D9" s="7">
        <v>337</v>
      </c>
      <c r="E9" s="8">
        <v>40</v>
      </c>
      <c r="F9" s="8">
        <v>40</v>
      </c>
      <c r="G9" s="9"/>
      <c r="H9" t="s">
        <v>303</v>
      </c>
    </row>
    <row r="10" ht="32.25" customHeight="1" spans="1:8">
      <c r="A10" s="6">
        <v>7</v>
      </c>
      <c r="B10" s="7" t="s">
        <v>308</v>
      </c>
      <c r="C10" s="7"/>
      <c r="D10" s="7">
        <v>163</v>
      </c>
      <c r="E10" s="8">
        <v>10.4</v>
      </c>
      <c r="F10" s="8">
        <v>10.4</v>
      </c>
      <c r="G10" s="9"/>
      <c r="H10" t="s">
        <v>301</v>
      </c>
    </row>
    <row r="11" customHeight="1" spans="1:8">
      <c r="A11" s="6">
        <v>8</v>
      </c>
      <c r="B11" s="7" t="s">
        <v>309</v>
      </c>
      <c r="C11" s="7"/>
      <c r="D11" s="7">
        <v>120</v>
      </c>
      <c r="E11" s="8">
        <v>14.2</v>
      </c>
      <c r="F11" s="8">
        <v>14.2</v>
      </c>
      <c r="G11" s="9"/>
      <c r="H11" t="s">
        <v>303</v>
      </c>
    </row>
    <row r="12" customHeight="1" spans="1:8">
      <c r="A12" s="6">
        <v>9</v>
      </c>
      <c r="B12" s="10" t="s">
        <v>310</v>
      </c>
      <c r="C12" s="10">
        <v>31</v>
      </c>
      <c r="D12" s="10"/>
      <c r="E12" s="10">
        <v>3.7</v>
      </c>
      <c r="F12" s="10">
        <v>3.7</v>
      </c>
      <c r="G12" s="12"/>
      <c r="H12" t="s">
        <v>303</v>
      </c>
    </row>
    <row r="13" customHeight="1" spans="1:8">
      <c r="A13" s="6">
        <v>10</v>
      </c>
      <c r="B13" s="10" t="s">
        <v>311</v>
      </c>
      <c r="C13" s="10">
        <v>199</v>
      </c>
      <c r="D13" s="10"/>
      <c r="E13" s="10">
        <v>4.9</v>
      </c>
      <c r="F13" s="10">
        <v>4.9</v>
      </c>
      <c r="G13" s="12"/>
      <c r="H13" t="s">
        <v>301</v>
      </c>
    </row>
    <row r="14" customHeight="1" spans="1:8">
      <c r="A14" s="6">
        <v>11</v>
      </c>
      <c r="B14" s="10" t="s">
        <v>312</v>
      </c>
      <c r="C14" s="10">
        <v>57</v>
      </c>
      <c r="D14" s="10"/>
      <c r="E14" s="10">
        <v>2.7</v>
      </c>
      <c r="F14" s="10">
        <v>2.7</v>
      </c>
      <c r="G14" s="12"/>
      <c r="H14" t="s">
        <v>301</v>
      </c>
    </row>
    <row r="15" customHeight="1" spans="1:8">
      <c r="A15" s="6">
        <v>12</v>
      </c>
      <c r="B15" s="10" t="s">
        <v>313</v>
      </c>
      <c r="C15" s="10"/>
      <c r="D15" s="10">
        <v>31</v>
      </c>
      <c r="E15" s="10">
        <v>5.4</v>
      </c>
      <c r="F15" s="10">
        <v>5.4</v>
      </c>
      <c r="G15" s="12"/>
      <c r="H15" t="s">
        <v>301</v>
      </c>
    </row>
    <row r="16" customHeight="1" spans="1:8">
      <c r="A16" s="6">
        <v>13</v>
      </c>
      <c r="B16" s="10" t="s">
        <v>314</v>
      </c>
      <c r="C16" s="10"/>
      <c r="D16" s="10">
        <v>63</v>
      </c>
      <c r="E16" s="10">
        <v>2.8</v>
      </c>
      <c r="F16" s="10">
        <v>2.8</v>
      </c>
      <c r="G16" s="12"/>
      <c r="H16" t="s">
        <v>301</v>
      </c>
    </row>
    <row r="17" customHeight="1" spans="1:8">
      <c r="A17" s="6">
        <v>14</v>
      </c>
      <c r="B17" s="10" t="s">
        <v>315</v>
      </c>
      <c r="C17" s="10"/>
      <c r="D17" s="10">
        <v>32</v>
      </c>
      <c r="E17" s="10">
        <v>2.7</v>
      </c>
      <c r="F17" s="10">
        <v>2.7</v>
      </c>
      <c r="G17" s="12"/>
      <c r="H17" t="s">
        <v>301</v>
      </c>
    </row>
    <row r="18" customHeight="1" spans="1:8">
      <c r="A18" s="6">
        <v>15</v>
      </c>
      <c r="B18" s="10" t="s">
        <v>313</v>
      </c>
      <c r="C18" s="10">
        <v>31</v>
      </c>
      <c r="D18" s="10"/>
      <c r="E18" s="10">
        <v>3.7</v>
      </c>
      <c r="F18" s="10">
        <v>3.7</v>
      </c>
      <c r="G18" s="12"/>
      <c r="H18" t="s">
        <v>303</v>
      </c>
    </row>
    <row r="19" customHeight="1" spans="1:8">
      <c r="A19" s="6">
        <v>16</v>
      </c>
      <c r="B19" s="10" t="s">
        <v>316</v>
      </c>
      <c r="C19" s="10">
        <v>114</v>
      </c>
      <c r="D19" s="10"/>
      <c r="E19" s="10">
        <v>13.5</v>
      </c>
      <c r="F19" s="10">
        <v>13.5</v>
      </c>
      <c r="G19" s="12"/>
      <c r="H19" t="s">
        <v>303</v>
      </c>
    </row>
    <row r="20" customHeight="1" spans="1:8">
      <c r="A20" s="6">
        <v>17</v>
      </c>
      <c r="B20" s="10" t="s">
        <v>317</v>
      </c>
      <c r="C20" s="10">
        <v>85</v>
      </c>
      <c r="D20" s="10"/>
      <c r="E20" s="10">
        <v>22.8</v>
      </c>
      <c r="F20" s="10">
        <v>22.8</v>
      </c>
      <c r="G20" s="12"/>
      <c r="H20" t="s">
        <v>301</v>
      </c>
    </row>
    <row r="21" customHeight="1" spans="1:8">
      <c r="A21" s="6">
        <v>18</v>
      </c>
      <c r="B21" s="10" t="s">
        <v>318</v>
      </c>
      <c r="C21" s="10">
        <v>264</v>
      </c>
      <c r="D21" s="10"/>
      <c r="E21" s="10">
        <v>19.9</v>
      </c>
      <c r="F21" s="10">
        <v>19.9</v>
      </c>
      <c r="G21" s="12"/>
      <c r="H21" t="s">
        <v>301</v>
      </c>
    </row>
    <row r="22" s="1" customFormat="1" customHeight="1" spans="1:8">
      <c r="A22" s="6">
        <v>19</v>
      </c>
      <c r="B22" s="6" t="s">
        <v>319</v>
      </c>
      <c r="C22" s="6">
        <v>230</v>
      </c>
      <c r="D22" s="6"/>
      <c r="E22" s="6">
        <v>27.3</v>
      </c>
      <c r="F22" s="6">
        <v>27.3</v>
      </c>
      <c r="G22" s="6"/>
      <c r="H22" t="s">
        <v>303</v>
      </c>
    </row>
    <row r="23" customHeight="1" spans="1:8">
      <c r="A23" s="6">
        <v>20</v>
      </c>
      <c r="B23" s="6" t="s">
        <v>320</v>
      </c>
      <c r="C23" s="6">
        <v>246</v>
      </c>
      <c r="D23" s="6"/>
      <c r="E23" s="6">
        <v>4.6</v>
      </c>
      <c r="F23" s="6">
        <v>4.6</v>
      </c>
      <c r="G23" s="6"/>
      <c r="H23" t="s">
        <v>301</v>
      </c>
    </row>
    <row r="24" customHeight="1" spans="1:8">
      <c r="A24" s="6">
        <v>21</v>
      </c>
      <c r="B24" s="6" t="s">
        <v>321</v>
      </c>
      <c r="C24" s="6">
        <v>53</v>
      </c>
      <c r="D24" s="6"/>
      <c r="E24" s="6">
        <v>6.3</v>
      </c>
      <c r="F24" s="6">
        <v>6.3</v>
      </c>
      <c r="G24" s="6"/>
      <c r="H24" t="s">
        <v>303</v>
      </c>
    </row>
    <row r="25" customHeight="1" spans="1:8">
      <c r="A25" s="6">
        <v>22</v>
      </c>
      <c r="B25" s="6" t="s">
        <v>322</v>
      </c>
      <c r="C25" s="6">
        <v>40</v>
      </c>
      <c r="D25" s="6">
        <v>40</v>
      </c>
      <c r="E25" s="6">
        <v>9.5</v>
      </c>
      <c r="F25" s="6">
        <v>9.5</v>
      </c>
      <c r="G25" s="6"/>
      <c r="H25" t="s">
        <v>303</v>
      </c>
    </row>
    <row r="26" customHeight="1" spans="1:8">
      <c r="A26" s="6">
        <v>23</v>
      </c>
      <c r="B26" s="6" t="s">
        <v>323</v>
      </c>
      <c r="C26" s="6"/>
      <c r="D26" s="6">
        <v>99</v>
      </c>
      <c r="E26" s="6">
        <v>11.8</v>
      </c>
      <c r="F26" s="6">
        <v>11.8</v>
      </c>
      <c r="G26" s="6"/>
      <c r="H26" t="s">
        <v>303</v>
      </c>
    </row>
    <row r="27" customHeight="1" spans="1:8">
      <c r="A27" s="6">
        <v>24</v>
      </c>
      <c r="B27" s="6" t="s">
        <v>324</v>
      </c>
      <c r="C27" s="6">
        <v>90</v>
      </c>
      <c r="D27" s="6"/>
      <c r="E27" s="6">
        <v>10.7</v>
      </c>
      <c r="F27" s="6">
        <v>10.7</v>
      </c>
      <c r="G27" s="6"/>
      <c r="H27" t="s">
        <v>303</v>
      </c>
    </row>
    <row r="28" customHeight="1" spans="1:8">
      <c r="A28" s="6">
        <v>25</v>
      </c>
      <c r="B28" s="6" t="s">
        <v>325</v>
      </c>
      <c r="C28" s="6"/>
      <c r="D28" s="6">
        <v>248</v>
      </c>
      <c r="E28" s="6">
        <v>29.4</v>
      </c>
      <c r="F28" s="6">
        <v>29.4</v>
      </c>
      <c r="G28" s="6"/>
      <c r="H28" t="s">
        <v>303</v>
      </c>
    </row>
    <row r="29" customHeight="1" spans="1:8">
      <c r="A29" s="6">
        <v>26</v>
      </c>
      <c r="B29" s="6" t="s">
        <v>326</v>
      </c>
      <c r="C29" s="6">
        <v>256</v>
      </c>
      <c r="D29" s="6"/>
      <c r="E29" s="6">
        <v>30.3</v>
      </c>
      <c r="F29" s="6">
        <v>30.3</v>
      </c>
      <c r="G29" s="6"/>
      <c r="H29" t="s">
        <v>303</v>
      </c>
    </row>
    <row r="30" customHeight="1" spans="1:8">
      <c r="A30" s="6">
        <v>27</v>
      </c>
      <c r="B30" s="6" t="s">
        <v>328</v>
      </c>
      <c r="C30" s="6">
        <v>79</v>
      </c>
      <c r="D30" s="6">
        <v>79</v>
      </c>
      <c r="E30" s="6">
        <v>18.7</v>
      </c>
      <c r="F30" s="6">
        <v>18.7</v>
      </c>
      <c r="G30" s="6"/>
      <c r="H30" t="s">
        <v>303</v>
      </c>
    </row>
    <row r="31" customHeight="1" spans="1:8">
      <c r="A31" s="6">
        <v>28</v>
      </c>
      <c r="B31" s="6" t="s">
        <v>329</v>
      </c>
      <c r="C31" s="6">
        <v>166</v>
      </c>
      <c r="D31" s="6">
        <v>166</v>
      </c>
      <c r="E31" s="6">
        <v>28.7</v>
      </c>
      <c r="F31" s="6">
        <v>28.7</v>
      </c>
      <c r="G31" s="6"/>
      <c r="H31" t="s">
        <v>301</v>
      </c>
    </row>
    <row r="32" customHeight="1" spans="1:8">
      <c r="A32" s="6">
        <v>29</v>
      </c>
      <c r="B32" s="6" t="s">
        <v>330</v>
      </c>
      <c r="C32" s="6">
        <v>75</v>
      </c>
      <c r="D32" s="6">
        <v>75</v>
      </c>
      <c r="E32" s="6">
        <v>17.8</v>
      </c>
      <c r="F32" s="6">
        <v>17.8</v>
      </c>
      <c r="G32" s="6"/>
      <c r="H32" t="s">
        <v>303</v>
      </c>
    </row>
    <row r="33" customHeight="1" spans="1:8">
      <c r="A33" s="6">
        <v>30</v>
      </c>
      <c r="B33" s="6" t="s">
        <v>331</v>
      </c>
      <c r="C33" s="6">
        <v>77</v>
      </c>
      <c r="D33" s="6">
        <v>77</v>
      </c>
      <c r="E33" s="6">
        <v>18.4</v>
      </c>
      <c r="F33" s="6">
        <v>18.4</v>
      </c>
      <c r="G33" s="6"/>
      <c r="H33" t="s">
        <v>303</v>
      </c>
    </row>
    <row r="34" customHeight="1" spans="1:8">
      <c r="A34" s="6">
        <v>31</v>
      </c>
      <c r="B34" s="6" t="s">
        <v>332</v>
      </c>
      <c r="C34" s="6">
        <v>20</v>
      </c>
      <c r="D34" s="6">
        <v>20</v>
      </c>
      <c r="E34" s="6">
        <v>4.7</v>
      </c>
      <c r="F34" s="6">
        <v>4.7</v>
      </c>
      <c r="G34" s="6"/>
      <c r="H34" t="s">
        <v>303</v>
      </c>
    </row>
    <row r="35" customHeight="1" spans="1:8">
      <c r="A35" s="6">
        <v>32</v>
      </c>
      <c r="B35" s="6" t="s">
        <v>333</v>
      </c>
      <c r="C35" s="6">
        <v>203</v>
      </c>
      <c r="D35" s="6">
        <v>203</v>
      </c>
      <c r="E35" s="6">
        <v>35.1</v>
      </c>
      <c r="F35" s="6">
        <v>35.1</v>
      </c>
      <c r="G35" s="6"/>
      <c r="H35" t="s">
        <v>301</v>
      </c>
    </row>
    <row r="36" customHeight="1" spans="1:8">
      <c r="A36" s="6">
        <v>33</v>
      </c>
      <c r="B36" s="6" t="s">
        <v>334</v>
      </c>
      <c r="C36" s="6">
        <v>258</v>
      </c>
      <c r="D36" s="6">
        <v>258</v>
      </c>
      <c r="E36" s="6">
        <v>61.2</v>
      </c>
      <c r="F36" s="6">
        <v>61.2</v>
      </c>
      <c r="G36" s="6"/>
      <c r="H36" t="s">
        <v>303</v>
      </c>
    </row>
    <row r="37" customHeight="1" spans="1:8">
      <c r="A37" s="6">
        <v>34</v>
      </c>
      <c r="B37" s="6" t="s">
        <v>335</v>
      </c>
      <c r="C37" s="6">
        <v>255</v>
      </c>
      <c r="D37" s="6">
        <v>255</v>
      </c>
      <c r="E37" s="6">
        <v>60.4</v>
      </c>
      <c r="F37" s="6">
        <v>60.4</v>
      </c>
      <c r="G37" s="6"/>
      <c r="H37" t="s">
        <v>303</v>
      </c>
    </row>
    <row r="38" customHeight="1" spans="1:8">
      <c r="A38" s="6">
        <v>35</v>
      </c>
      <c r="B38" s="6" t="s">
        <v>336</v>
      </c>
      <c r="C38" s="6">
        <v>245</v>
      </c>
      <c r="D38" s="6">
        <v>245</v>
      </c>
      <c r="E38" s="6">
        <v>58.3</v>
      </c>
      <c r="F38" s="6">
        <v>58.3</v>
      </c>
      <c r="G38" s="6"/>
      <c r="H38" t="s">
        <v>303</v>
      </c>
    </row>
    <row r="39" customHeight="1" spans="1:7">
      <c r="A39" s="6" t="s">
        <v>160</v>
      </c>
      <c r="B39" s="6"/>
      <c r="C39" s="6"/>
      <c r="D39" s="6"/>
      <c r="E39" s="6">
        <f>SUM(E4:E38)</f>
        <v>650.8</v>
      </c>
      <c r="F39" s="11">
        <f>SUM(F4:F38)</f>
        <v>650.8</v>
      </c>
      <c r="G39" s="6"/>
    </row>
    <row r="40" customHeight="1" spans="1:8">
      <c r="A40" s="13" t="s">
        <v>161</v>
      </c>
      <c r="B40" s="13"/>
      <c r="C40" s="23"/>
      <c r="D40" s="23"/>
      <c r="E40" s="1"/>
      <c r="F40" s="1"/>
      <c r="G40" s="1"/>
      <c r="H40" s="1"/>
    </row>
  </sheetData>
  <mergeCells count="8">
    <mergeCell ref="A1:E1"/>
    <mergeCell ref="C2:D2"/>
    <mergeCell ref="A39:B39"/>
    <mergeCell ref="A2:A3"/>
    <mergeCell ref="B2:B3"/>
    <mergeCell ref="E2:E3"/>
    <mergeCell ref="F2:F3"/>
    <mergeCell ref="G2:G3"/>
  </mergeCells>
  <pageMargins left="0.699305555555556" right="0.699305555555556" top="0.75" bottom="0.75" header="0.3" footer="0.3"/>
  <pageSetup paperSize="9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E4" sqref="E4:F38"/>
    </sheetView>
  </sheetViews>
  <sheetFormatPr defaultColWidth="8.75" defaultRowHeight="30" customHeight="1" outlineLevelCol="7"/>
  <cols>
    <col min="1" max="1" width="6.625" customWidth="1"/>
    <col min="2" max="2" width="22.125" customWidth="1"/>
    <col min="3" max="3" width="7.25" customWidth="1"/>
    <col min="4" max="4" width="6.125" customWidth="1"/>
    <col min="5" max="5" width="9.875" customWidth="1"/>
    <col min="7" max="7" width="11.375" customWidth="1"/>
  </cols>
  <sheetData>
    <row r="1" ht="60" customHeight="1" spans="1:5">
      <c r="A1" s="2" t="s">
        <v>400</v>
      </c>
      <c r="B1" s="2"/>
      <c r="C1" s="2"/>
      <c r="D1" s="2"/>
      <c r="E1" s="2"/>
    </row>
    <row r="2" customHeight="1" spans="1:7">
      <c r="A2" s="15" t="s">
        <v>147</v>
      </c>
      <c r="B2" s="15" t="s">
        <v>148</v>
      </c>
      <c r="C2" s="16" t="s">
        <v>296</v>
      </c>
      <c r="D2" s="17"/>
      <c r="E2" s="18" t="s">
        <v>218</v>
      </c>
      <c r="F2" s="18" t="s">
        <v>219</v>
      </c>
      <c r="G2" s="19" t="s">
        <v>153</v>
      </c>
    </row>
    <row r="3" ht="32.25" customHeight="1" spans="1:7">
      <c r="A3" s="20"/>
      <c r="B3" s="20"/>
      <c r="C3" s="3" t="s">
        <v>297</v>
      </c>
      <c r="D3" s="3" t="s">
        <v>298</v>
      </c>
      <c r="E3" s="21"/>
      <c r="F3" s="21"/>
      <c r="G3" s="22"/>
    </row>
    <row r="4" ht="32.25" customHeight="1" spans="1:8">
      <c r="A4" s="6">
        <v>1</v>
      </c>
      <c r="B4" s="7" t="s">
        <v>299</v>
      </c>
      <c r="C4" s="7"/>
      <c r="D4" s="7">
        <v>16</v>
      </c>
      <c r="E4" s="8">
        <v>13.6</v>
      </c>
      <c r="F4" s="8">
        <v>13.6</v>
      </c>
      <c r="G4" s="9" t="s">
        <v>300</v>
      </c>
      <c r="H4" t="s">
        <v>301</v>
      </c>
    </row>
    <row r="5" ht="32.25" customHeight="1" spans="1:8">
      <c r="A5" s="6">
        <v>2</v>
      </c>
      <c r="B5" s="7" t="s">
        <v>302</v>
      </c>
      <c r="C5" s="7"/>
      <c r="D5" s="7">
        <v>15</v>
      </c>
      <c r="E5" s="8">
        <v>14.7</v>
      </c>
      <c r="F5" s="8">
        <v>14.7</v>
      </c>
      <c r="G5" s="9"/>
      <c r="H5" t="s">
        <v>303</v>
      </c>
    </row>
    <row r="6" ht="32.25" customHeight="1" spans="1:8">
      <c r="A6" s="6">
        <v>3</v>
      </c>
      <c r="B6" s="7" t="s">
        <v>304</v>
      </c>
      <c r="C6" s="7"/>
      <c r="D6" s="7">
        <v>179</v>
      </c>
      <c r="E6" s="8">
        <v>175.4</v>
      </c>
      <c r="F6" s="8">
        <v>175.4</v>
      </c>
      <c r="G6" s="9"/>
      <c r="H6" t="s">
        <v>303</v>
      </c>
    </row>
    <row r="7" ht="32.25" customHeight="1" spans="1:8">
      <c r="A7" s="6">
        <v>4</v>
      </c>
      <c r="B7" s="7" t="s">
        <v>305</v>
      </c>
      <c r="C7" s="7"/>
      <c r="D7" s="7">
        <v>20</v>
      </c>
      <c r="E7" s="8">
        <v>17</v>
      </c>
      <c r="F7" s="8">
        <v>17</v>
      </c>
      <c r="G7" s="9"/>
      <c r="H7" t="s">
        <v>301</v>
      </c>
    </row>
    <row r="8" ht="32.25" customHeight="1" spans="1:8">
      <c r="A8" s="6">
        <v>5</v>
      </c>
      <c r="B8" s="7" t="s">
        <v>306</v>
      </c>
      <c r="C8" s="7"/>
      <c r="D8" s="7">
        <v>200</v>
      </c>
      <c r="E8" s="8">
        <v>170</v>
      </c>
      <c r="F8" s="8">
        <v>170</v>
      </c>
      <c r="G8" s="9"/>
      <c r="H8" t="s">
        <v>301</v>
      </c>
    </row>
    <row r="9" ht="32.25" customHeight="1" spans="1:8">
      <c r="A9" s="6">
        <v>6</v>
      </c>
      <c r="B9" s="7" t="s">
        <v>307</v>
      </c>
      <c r="C9" s="7"/>
      <c r="D9" s="7">
        <v>337</v>
      </c>
      <c r="E9" s="8">
        <v>330.3</v>
      </c>
      <c r="F9" s="8">
        <v>330.3</v>
      </c>
      <c r="G9" s="9"/>
      <c r="H9" t="s">
        <v>303</v>
      </c>
    </row>
    <row r="10" ht="32.25" customHeight="1" spans="1:8">
      <c r="A10" s="6">
        <v>7</v>
      </c>
      <c r="B10" s="7" t="s">
        <v>308</v>
      </c>
      <c r="C10" s="7"/>
      <c r="D10" s="7">
        <v>163</v>
      </c>
      <c r="E10" s="8">
        <v>138.6</v>
      </c>
      <c r="F10" s="8">
        <v>138.6</v>
      </c>
      <c r="G10" s="9"/>
      <c r="H10" t="s">
        <v>301</v>
      </c>
    </row>
    <row r="11" customHeight="1" spans="1:8">
      <c r="A11" s="6">
        <v>8</v>
      </c>
      <c r="B11" s="7" t="s">
        <v>309</v>
      </c>
      <c r="C11" s="7"/>
      <c r="D11" s="7">
        <v>120</v>
      </c>
      <c r="E11" s="8">
        <v>117.6</v>
      </c>
      <c r="F11" s="8">
        <v>117.6</v>
      </c>
      <c r="G11" s="9"/>
      <c r="H11" t="s">
        <v>303</v>
      </c>
    </row>
    <row r="12" customHeight="1" spans="1:8">
      <c r="A12" s="6">
        <v>9</v>
      </c>
      <c r="B12" s="10" t="s">
        <v>310</v>
      </c>
      <c r="C12" s="10">
        <v>31</v>
      </c>
      <c r="D12" s="10"/>
      <c r="E12" s="10">
        <v>30.4</v>
      </c>
      <c r="F12" s="10">
        <v>30.4</v>
      </c>
      <c r="G12" s="12"/>
      <c r="H12" t="s">
        <v>303</v>
      </c>
    </row>
    <row r="13" customHeight="1" spans="1:8">
      <c r="A13" s="6">
        <v>10</v>
      </c>
      <c r="B13" s="10" t="s">
        <v>311</v>
      </c>
      <c r="C13" s="10">
        <v>199</v>
      </c>
      <c r="D13" s="10"/>
      <c r="E13" s="10">
        <v>169.2</v>
      </c>
      <c r="F13" s="10">
        <v>169.2</v>
      </c>
      <c r="G13" s="12"/>
      <c r="H13" t="s">
        <v>301</v>
      </c>
    </row>
    <row r="14" customHeight="1" spans="1:8">
      <c r="A14" s="6">
        <v>11</v>
      </c>
      <c r="B14" s="10" t="s">
        <v>312</v>
      </c>
      <c r="C14" s="10">
        <v>57</v>
      </c>
      <c r="D14" s="10"/>
      <c r="E14" s="10">
        <v>48.5</v>
      </c>
      <c r="F14" s="10">
        <v>48.5</v>
      </c>
      <c r="G14" s="12"/>
      <c r="H14" t="s">
        <v>301</v>
      </c>
    </row>
    <row r="15" customHeight="1" spans="1:8">
      <c r="A15" s="6">
        <v>12</v>
      </c>
      <c r="B15" s="10" t="s">
        <v>313</v>
      </c>
      <c r="C15" s="10"/>
      <c r="D15" s="10">
        <v>31</v>
      </c>
      <c r="E15" s="10">
        <v>26.4</v>
      </c>
      <c r="F15" s="10">
        <v>26.4</v>
      </c>
      <c r="G15" s="12"/>
      <c r="H15" t="s">
        <v>301</v>
      </c>
    </row>
    <row r="16" customHeight="1" spans="1:8">
      <c r="A16" s="6">
        <v>13</v>
      </c>
      <c r="B16" s="10" t="s">
        <v>314</v>
      </c>
      <c r="C16" s="10"/>
      <c r="D16" s="10">
        <v>63</v>
      </c>
      <c r="E16" s="10">
        <v>53.6</v>
      </c>
      <c r="F16" s="10">
        <v>53.6</v>
      </c>
      <c r="G16" s="12"/>
      <c r="H16" t="s">
        <v>301</v>
      </c>
    </row>
    <row r="17" customHeight="1" spans="1:8">
      <c r="A17" s="6">
        <v>14</v>
      </c>
      <c r="B17" s="10" t="s">
        <v>315</v>
      </c>
      <c r="C17" s="10"/>
      <c r="D17" s="10">
        <v>32</v>
      </c>
      <c r="E17" s="10">
        <v>27.2</v>
      </c>
      <c r="F17" s="10">
        <v>27.2</v>
      </c>
      <c r="G17" s="12"/>
      <c r="H17" t="s">
        <v>301</v>
      </c>
    </row>
    <row r="18" customHeight="1" spans="1:8">
      <c r="A18" s="6">
        <v>15</v>
      </c>
      <c r="B18" s="10" t="s">
        <v>313</v>
      </c>
      <c r="C18" s="10">
        <v>31</v>
      </c>
      <c r="D18" s="10"/>
      <c r="E18" s="10">
        <v>30.4</v>
      </c>
      <c r="F18" s="10">
        <v>30.4</v>
      </c>
      <c r="G18" s="12"/>
      <c r="H18" t="s">
        <v>303</v>
      </c>
    </row>
    <row r="19" customHeight="1" spans="1:8">
      <c r="A19" s="6">
        <v>16</v>
      </c>
      <c r="B19" s="10" t="s">
        <v>316</v>
      </c>
      <c r="C19" s="10">
        <v>114</v>
      </c>
      <c r="D19" s="10"/>
      <c r="E19" s="10">
        <v>111.7</v>
      </c>
      <c r="F19" s="10">
        <v>111.7</v>
      </c>
      <c r="G19" s="12"/>
      <c r="H19" t="s">
        <v>303</v>
      </c>
    </row>
    <row r="20" customHeight="1" spans="1:8">
      <c r="A20" s="6">
        <v>17</v>
      </c>
      <c r="B20" s="10" t="s">
        <v>317</v>
      </c>
      <c r="C20" s="10">
        <v>85</v>
      </c>
      <c r="D20" s="10"/>
      <c r="E20" s="10">
        <v>72.3</v>
      </c>
      <c r="F20" s="10">
        <v>72.3</v>
      </c>
      <c r="G20" s="12"/>
      <c r="H20" t="s">
        <v>301</v>
      </c>
    </row>
    <row r="21" customHeight="1" spans="1:8">
      <c r="A21" s="6">
        <v>18</v>
      </c>
      <c r="B21" s="10" t="s">
        <v>318</v>
      </c>
      <c r="C21" s="10">
        <v>264</v>
      </c>
      <c r="D21" s="10"/>
      <c r="E21" s="10">
        <v>224.4</v>
      </c>
      <c r="F21" s="10">
        <v>224.4</v>
      </c>
      <c r="G21" s="12"/>
      <c r="H21" t="s">
        <v>301</v>
      </c>
    </row>
    <row r="22" s="1" customFormat="1" customHeight="1" spans="1:8">
      <c r="A22" s="6">
        <v>19</v>
      </c>
      <c r="B22" s="6" t="s">
        <v>319</v>
      </c>
      <c r="C22" s="6">
        <v>230</v>
      </c>
      <c r="D22" s="6"/>
      <c r="E22" s="6">
        <v>225.4</v>
      </c>
      <c r="F22" s="6">
        <v>225.4</v>
      </c>
      <c r="G22" s="6"/>
      <c r="H22" t="s">
        <v>303</v>
      </c>
    </row>
    <row r="23" customHeight="1" spans="1:8">
      <c r="A23" s="6">
        <v>20</v>
      </c>
      <c r="B23" s="6" t="s">
        <v>320</v>
      </c>
      <c r="C23" s="6">
        <v>246</v>
      </c>
      <c r="D23" s="6"/>
      <c r="E23" s="6">
        <v>209.1</v>
      </c>
      <c r="F23" s="6">
        <v>209.1</v>
      </c>
      <c r="G23" s="6"/>
      <c r="H23" t="s">
        <v>301</v>
      </c>
    </row>
    <row r="24" customHeight="1" spans="1:8">
      <c r="A24" s="6">
        <v>21</v>
      </c>
      <c r="B24" s="6" t="s">
        <v>321</v>
      </c>
      <c r="C24" s="6">
        <v>53</v>
      </c>
      <c r="D24" s="6"/>
      <c r="E24" s="6">
        <v>51.9</v>
      </c>
      <c r="F24" s="6">
        <v>51.9</v>
      </c>
      <c r="G24" s="6"/>
      <c r="H24" t="s">
        <v>303</v>
      </c>
    </row>
    <row r="25" customHeight="1" spans="1:8">
      <c r="A25" s="6">
        <v>22</v>
      </c>
      <c r="B25" s="6" t="s">
        <v>322</v>
      </c>
      <c r="C25" s="6">
        <v>40</v>
      </c>
      <c r="D25" s="6">
        <v>40</v>
      </c>
      <c r="E25" s="6">
        <v>78.4</v>
      </c>
      <c r="F25" s="6">
        <v>78.4</v>
      </c>
      <c r="G25" s="6"/>
      <c r="H25" t="s">
        <v>303</v>
      </c>
    </row>
    <row r="26" customHeight="1" spans="1:8">
      <c r="A26" s="6">
        <v>23</v>
      </c>
      <c r="B26" s="6" t="s">
        <v>323</v>
      </c>
      <c r="C26" s="6"/>
      <c r="D26" s="6">
        <v>99</v>
      </c>
      <c r="E26" s="6">
        <v>97.5</v>
      </c>
      <c r="F26" s="6">
        <v>97.5</v>
      </c>
      <c r="G26" s="6"/>
      <c r="H26" t="s">
        <v>303</v>
      </c>
    </row>
    <row r="27" customHeight="1" spans="1:8">
      <c r="A27" s="6">
        <v>24</v>
      </c>
      <c r="B27" s="6" t="s">
        <v>324</v>
      </c>
      <c r="C27" s="6">
        <v>90</v>
      </c>
      <c r="D27" s="6"/>
      <c r="E27" s="6">
        <v>88.5</v>
      </c>
      <c r="F27" s="6">
        <v>88.5</v>
      </c>
      <c r="G27" s="6"/>
      <c r="H27" t="s">
        <v>303</v>
      </c>
    </row>
    <row r="28" customHeight="1" spans="1:8">
      <c r="A28" s="6">
        <v>25</v>
      </c>
      <c r="B28" s="6" t="s">
        <v>325</v>
      </c>
      <c r="C28" s="6"/>
      <c r="D28" s="6">
        <v>248</v>
      </c>
      <c r="E28" s="6">
        <v>242.6</v>
      </c>
      <c r="F28" s="6">
        <v>242.6</v>
      </c>
      <c r="G28" s="6"/>
      <c r="H28" t="s">
        <v>303</v>
      </c>
    </row>
    <row r="29" customHeight="1" spans="1:8">
      <c r="A29" s="6">
        <v>26</v>
      </c>
      <c r="B29" s="6" t="s">
        <v>326</v>
      </c>
      <c r="C29" s="6">
        <v>256</v>
      </c>
      <c r="D29" s="6"/>
      <c r="E29" s="6">
        <v>250.5</v>
      </c>
      <c r="F29" s="6">
        <v>250.5</v>
      </c>
      <c r="G29" s="6"/>
      <c r="H29" t="s">
        <v>303</v>
      </c>
    </row>
    <row r="30" customHeight="1" spans="1:8">
      <c r="A30" s="6">
        <v>27</v>
      </c>
      <c r="B30" s="6" t="s">
        <v>328</v>
      </c>
      <c r="C30" s="6">
        <v>79</v>
      </c>
      <c r="D30" s="6">
        <v>79</v>
      </c>
      <c r="E30" s="6">
        <v>154.7</v>
      </c>
      <c r="F30" s="6">
        <v>154.7</v>
      </c>
      <c r="G30" s="6"/>
      <c r="H30" t="s">
        <v>303</v>
      </c>
    </row>
    <row r="31" customHeight="1" spans="1:8">
      <c r="A31" s="6">
        <v>28</v>
      </c>
      <c r="B31" s="6" t="s">
        <v>329</v>
      </c>
      <c r="C31" s="6">
        <v>166</v>
      </c>
      <c r="D31" s="6">
        <v>166</v>
      </c>
      <c r="E31" s="6">
        <v>282.2</v>
      </c>
      <c r="F31" s="6">
        <v>282.2</v>
      </c>
      <c r="G31" s="6"/>
      <c r="H31" t="s">
        <v>301</v>
      </c>
    </row>
    <row r="32" customHeight="1" spans="1:8">
      <c r="A32" s="6">
        <v>29</v>
      </c>
      <c r="B32" s="6" t="s">
        <v>330</v>
      </c>
      <c r="C32" s="6">
        <v>75</v>
      </c>
      <c r="D32" s="6">
        <v>75</v>
      </c>
      <c r="E32" s="6">
        <v>147.2</v>
      </c>
      <c r="F32" s="6">
        <v>147.2</v>
      </c>
      <c r="G32" s="6"/>
      <c r="H32" t="s">
        <v>303</v>
      </c>
    </row>
    <row r="33" customHeight="1" spans="1:8">
      <c r="A33" s="6">
        <v>30</v>
      </c>
      <c r="B33" s="6" t="s">
        <v>331</v>
      </c>
      <c r="C33" s="6">
        <v>77</v>
      </c>
      <c r="D33" s="6">
        <v>77</v>
      </c>
      <c r="E33" s="6">
        <v>151.7</v>
      </c>
      <c r="F33" s="6">
        <v>151.7</v>
      </c>
      <c r="G33" s="6"/>
      <c r="H33" t="s">
        <v>303</v>
      </c>
    </row>
    <row r="34" customHeight="1" spans="1:8">
      <c r="A34" s="6">
        <v>31</v>
      </c>
      <c r="B34" s="6" t="s">
        <v>332</v>
      </c>
      <c r="C34" s="6">
        <v>20</v>
      </c>
      <c r="D34" s="6">
        <v>20</v>
      </c>
      <c r="E34" s="6">
        <v>38.4</v>
      </c>
      <c r="F34" s="6">
        <v>38.4</v>
      </c>
      <c r="G34" s="6"/>
      <c r="H34" t="s">
        <v>303</v>
      </c>
    </row>
    <row r="35" customHeight="1" spans="1:8">
      <c r="A35" s="6">
        <v>32</v>
      </c>
      <c r="B35" s="6" t="s">
        <v>333</v>
      </c>
      <c r="C35" s="6">
        <v>203</v>
      </c>
      <c r="D35" s="6">
        <v>203</v>
      </c>
      <c r="E35" s="6">
        <v>345.1</v>
      </c>
      <c r="F35" s="6">
        <v>345.1</v>
      </c>
      <c r="G35" s="6"/>
      <c r="H35" t="s">
        <v>301</v>
      </c>
    </row>
    <row r="36" customHeight="1" spans="1:8">
      <c r="A36" s="6">
        <v>33</v>
      </c>
      <c r="B36" s="6" t="s">
        <v>334</v>
      </c>
      <c r="C36" s="6">
        <v>258</v>
      </c>
      <c r="D36" s="6">
        <v>258</v>
      </c>
      <c r="E36" s="6">
        <v>505.2</v>
      </c>
      <c r="F36" s="6">
        <v>505.2</v>
      </c>
      <c r="G36" s="6"/>
      <c r="H36" t="s">
        <v>303</v>
      </c>
    </row>
    <row r="37" customHeight="1" spans="1:8">
      <c r="A37" s="6">
        <v>34</v>
      </c>
      <c r="B37" s="6" t="s">
        <v>335</v>
      </c>
      <c r="C37" s="6">
        <v>255</v>
      </c>
      <c r="D37" s="6">
        <v>255</v>
      </c>
      <c r="E37" s="6">
        <v>499.1</v>
      </c>
      <c r="F37" s="6">
        <v>499.1</v>
      </c>
      <c r="G37" s="6"/>
      <c r="H37" t="s">
        <v>303</v>
      </c>
    </row>
    <row r="38" customHeight="1" spans="1:8">
      <c r="A38" s="6">
        <v>35</v>
      </c>
      <c r="B38" s="6" t="s">
        <v>336</v>
      </c>
      <c r="C38" s="6">
        <v>245</v>
      </c>
      <c r="D38" s="6">
        <v>245</v>
      </c>
      <c r="E38" s="6">
        <v>481.2</v>
      </c>
      <c r="F38" s="6">
        <v>481.2</v>
      </c>
      <c r="G38" s="6"/>
      <c r="H38" t="s">
        <v>303</v>
      </c>
    </row>
    <row r="39" customHeight="1" spans="1:7">
      <c r="A39" s="6" t="s">
        <v>160</v>
      </c>
      <c r="B39" s="6"/>
      <c r="C39" s="6"/>
      <c r="D39" s="6"/>
      <c r="E39" s="24">
        <f>SUM(E4:E38)</f>
        <v>5620</v>
      </c>
      <c r="F39" s="14">
        <f>SUM(F4:F38)</f>
        <v>5620</v>
      </c>
      <c r="G39" s="6"/>
    </row>
    <row r="40" customHeight="1" spans="1:8">
      <c r="A40" s="13" t="s">
        <v>161</v>
      </c>
      <c r="B40" s="13"/>
      <c r="C40" s="23"/>
      <c r="D40" s="23"/>
      <c r="E40" s="1"/>
      <c r="F40" s="1"/>
      <c r="G40" s="1"/>
      <c r="H40" s="1"/>
    </row>
  </sheetData>
  <mergeCells count="8">
    <mergeCell ref="A1:E1"/>
    <mergeCell ref="C2:D2"/>
    <mergeCell ref="A39:B39"/>
    <mergeCell ref="A2:A3"/>
    <mergeCell ref="B2:B3"/>
    <mergeCell ref="E2:E3"/>
    <mergeCell ref="F2:F3"/>
    <mergeCell ref="G2:G3"/>
  </mergeCells>
  <pageMargins left="0.699305555555556" right="0.699305555555556" top="0.75" bottom="0.75" header="0.3" footer="0.3"/>
  <pageSetup paperSize="9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E14" sqref="E14"/>
    </sheetView>
  </sheetViews>
  <sheetFormatPr defaultColWidth="8.75" defaultRowHeight="30" customHeight="1" outlineLevelCol="7"/>
  <cols>
    <col min="1" max="1" width="6.625" customWidth="1"/>
    <col min="2" max="2" width="22.125" customWidth="1"/>
    <col min="3" max="3" width="6.25" customWidth="1"/>
    <col min="4" max="4" width="6.375" customWidth="1"/>
    <col min="5" max="5" width="18" customWidth="1"/>
    <col min="6" max="6" width="20" customWidth="1"/>
    <col min="7" max="7" width="22.125" customWidth="1"/>
  </cols>
  <sheetData>
    <row r="1" ht="60" customHeight="1" spans="1:7">
      <c r="A1" s="2" t="s">
        <v>401</v>
      </c>
      <c r="B1" s="2"/>
      <c r="C1" s="2"/>
      <c r="D1" s="2"/>
      <c r="E1" s="2"/>
      <c r="F1" s="2"/>
      <c r="G1" s="2"/>
    </row>
    <row r="2" customHeight="1" spans="1:7">
      <c r="A2" s="15" t="s">
        <v>147</v>
      </c>
      <c r="B2" s="15" t="s">
        <v>148</v>
      </c>
      <c r="C2" s="16" t="s">
        <v>296</v>
      </c>
      <c r="D2" s="17"/>
      <c r="E2" s="18" t="s">
        <v>218</v>
      </c>
      <c r="F2" s="18" t="s">
        <v>219</v>
      </c>
      <c r="G2" s="19" t="s">
        <v>153</v>
      </c>
    </row>
    <row r="3" customHeight="1" spans="1:7">
      <c r="A3" s="20"/>
      <c r="B3" s="20"/>
      <c r="C3" s="3" t="s">
        <v>297</v>
      </c>
      <c r="D3" s="3" t="s">
        <v>298</v>
      </c>
      <c r="E3" s="21"/>
      <c r="F3" s="21"/>
      <c r="G3" s="22"/>
    </row>
    <row r="4" ht="32.25" customHeight="1" spans="1:8">
      <c r="A4" s="6">
        <v>1</v>
      </c>
      <c r="B4" s="7" t="s">
        <v>299</v>
      </c>
      <c r="C4" s="7"/>
      <c r="D4" s="7">
        <v>16</v>
      </c>
      <c r="E4" s="8">
        <v>9.6</v>
      </c>
      <c r="F4" s="8">
        <v>9.6</v>
      </c>
      <c r="G4" s="9" t="s">
        <v>300</v>
      </c>
      <c r="H4" t="s">
        <v>301</v>
      </c>
    </row>
    <row r="5" ht="32.25" customHeight="1" spans="1:8">
      <c r="A5" s="6">
        <v>2</v>
      </c>
      <c r="B5" s="7" t="s">
        <v>302</v>
      </c>
      <c r="C5" s="7"/>
      <c r="D5" s="7">
        <v>15</v>
      </c>
      <c r="E5" s="8">
        <v>17</v>
      </c>
      <c r="F5" s="8">
        <v>17</v>
      </c>
      <c r="G5" s="9"/>
      <c r="H5" t="s">
        <v>303</v>
      </c>
    </row>
    <row r="6" ht="32.25" customHeight="1" spans="1:8">
      <c r="A6" s="6">
        <v>3</v>
      </c>
      <c r="B6" s="7" t="s">
        <v>304</v>
      </c>
      <c r="C6" s="7"/>
      <c r="D6" s="7">
        <v>179</v>
      </c>
      <c r="E6" s="8">
        <v>202.3</v>
      </c>
      <c r="F6" s="8">
        <v>202.3</v>
      </c>
      <c r="G6" s="9"/>
      <c r="H6" t="s">
        <v>303</v>
      </c>
    </row>
    <row r="7" ht="32.25" customHeight="1" spans="1:8">
      <c r="A7" s="6">
        <v>4</v>
      </c>
      <c r="B7" s="7" t="s">
        <v>305</v>
      </c>
      <c r="C7" s="7"/>
      <c r="D7" s="7">
        <v>20</v>
      </c>
      <c r="E7" s="8">
        <v>12</v>
      </c>
      <c r="F7" s="8">
        <v>12</v>
      </c>
      <c r="G7" s="9"/>
      <c r="H7" t="s">
        <v>301</v>
      </c>
    </row>
    <row r="8" ht="32.25" customHeight="1" spans="1:8">
      <c r="A8" s="6">
        <v>5</v>
      </c>
      <c r="B8" s="7" t="s">
        <v>306</v>
      </c>
      <c r="C8" s="7"/>
      <c r="D8" s="7">
        <v>200</v>
      </c>
      <c r="E8" s="8">
        <v>120</v>
      </c>
      <c r="F8" s="8">
        <v>120</v>
      </c>
      <c r="G8" s="9"/>
      <c r="H8" t="s">
        <v>301</v>
      </c>
    </row>
    <row r="9" ht="32.25" customHeight="1" spans="1:8">
      <c r="A9" s="6">
        <v>6</v>
      </c>
      <c r="B9" s="7" t="s">
        <v>307</v>
      </c>
      <c r="C9" s="7"/>
      <c r="D9" s="7">
        <v>337</v>
      </c>
      <c r="E9" s="8">
        <v>380.8</v>
      </c>
      <c r="F9" s="8">
        <v>380.8</v>
      </c>
      <c r="G9" s="9"/>
      <c r="H9" t="s">
        <v>303</v>
      </c>
    </row>
    <row r="10" ht="32.25" customHeight="1" spans="1:8">
      <c r="A10" s="6">
        <v>7</v>
      </c>
      <c r="B10" s="7" t="s">
        <v>308</v>
      </c>
      <c r="C10" s="7"/>
      <c r="D10" s="7">
        <v>163</v>
      </c>
      <c r="E10" s="8">
        <v>97.8</v>
      </c>
      <c r="F10" s="8">
        <v>97.8</v>
      </c>
      <c r="G10" s="9"/>
      <c r="H10" t="s">
        <v>301</v>
      </c>
    </row>
    <row r="11" ht="32.25" customHeight="1" spans="1:8">
      <c r="A11" s="6">
        <v>8</v>
      </c>
      <c r="B11" s="7" t="s">
        <v>309</v>
      </c>
      <c r="C11" s="7"/>
      <c r="D11" s="7">
        <v>120</v>
      </c>
      <c r="E11" s="8">
        <v>135.6</v>
      </c>
      <c r="F11" s="8">
        <v>135.6</v>
      </c>
      <c r="G11" s="9"/>
      <c r="H11" t="s">
        <v>303</v>
      </c>
    </row>
    <row r="12" customHeight="1" spans="1:8">
      <c r="A12" s="6">
        <v>9</v>
      </c>
      <c r="B12" s="10" t="s">
        <v>310</v>
      </c>
      <c r="C12" s="10">
        <v>31</v>
      </c>
      <c r="D12" s="10"/>
      <c r="E12" s="10">
        <v>35</v>
      </c>
      <c r="F12" s="10">
        <v>35</v>
      </c>
      <c r="G12" s="12"/>
      <c r="H12" t="s">
        <v>303</v>
      </c>
    </row>
    <row r="13" customHeight="1" spans="1:8">
      <c r="A13" s="6">
        <v>10</v>
      </c>
      <c r="B13" s="10" t="s">
        <v>311</v>
      </c>
      <c r="C13" s="10">
        <v>199</v>
      </c>
      <c r="D13" s="10"/>
      <c r="E13" s="10">
        <v>119.4</v>
      </c>
      <c r="F13" s="10">
        <v>119.4</v>
      </c>
      <c r="G13" s="12"/>
      <c r="H13" t="s">
        <v>301</v>
      </c>
    </row>
    <row r="14" customHeight="1" spans="1:8">
      <c r="A14" s="6">
        <v>11</v>
      </c>
      <c r="B14" s="10" t="s">
        <v>312</v>
      </c>
      <c r="C14" s="10">
        <v>57</v>
      </c>
      <c r="D14" s="10"/>
      <c r="E14" s="10">
        <v>34.2</v>
      </c>
      <c r="F14" s="10">
        <v>34.2</v>
      </c>
      <c r="G14" s="12"/>
      <c r="H14" t="s">
        <v>301</v>
      </c>
    </row>
    <row r="15" customHeight="1" spans="1:8">
      <c r="A15" s="6">
        <v>12</v>
      </c>
      <c r="B15" s="10" t="s">
        <v>313</v>
      </c>
      <c r="C15" s="10"/>
      <c r="D15" s="10">
        <v>31</v>
      </c>
      <c r="E15" s="10">
        <v>18.6</v>
      </c>
      <c r="F15" s="10">
        <v>18.6</v>
      </c>
      <c r="G15" s="12"/>
      <c r="H15" t="s">
        <v>301</v>
      </c>
    </row>
    <row r="16" customHeight="1" spans="1:8">
      <c r="A16" s="6">
        <v>13</v>
      </c>
      <c r="B16" s="10" t="s">
        <v>314</v>
      </c>
      <c r="C16" s="10"/>
      <c r="D16" s="10">
        <v>63</v>
      </c>
      <c r="E16" s="10">
        <v>37.8</v>
      </c>
      <c r="F16" s="10">
        <v>37.8</v>
      </c>
      <c r="G16" s="12"/>
      <c r="H16" t="s">
        <v>301</v>
      </c>
    </row>
    <row r="17" customHeight="1" spans="1:8">
      <c r="A17" s="6">
        <v>14</v>
      </c>
      <c r="B17" s="10" t="s">
        <v>315</v>
      </c>
      <c r="C17" s="10"/>
      <c r="D17" s="10">
        <v>32</v>
      </c>
      <c r="E17" s="10">
        <v>19.2</v>
      </c>
      <c r="F17" s="10">
        <v>19.2</v>
      </c>
      <c r="G17" s="12"/>
      <c r="H17" t="s">
        <v>301</v>
      </c>
    </row>
    <row r="18" customHeight="1" spans="1:8">
      <c r="A18" s="6">
        <v>15</v>
      </c>
      <c r="B18" s="10" t="s">
        <v>313</v>
      </c>
      <c r="C18" s="10">
        <v>31</v>
      </c>
      <c r="D18" s="10"/>
      <c r="E18" s="10">
        <v>35</v>
      </c>
      <c r="F18" s="10">
        <v>35</v>
      </c>
      <c r="G18" s="12"/>
      <c r="H18" t="s">
        <v>303</v>
      </c>
    </row>
    <row r="19" customHeight="1" spans="1:8">
      <c r="A19" s="6">
        <v>16</v>
      </c>
      <c r="B19" s="10" t="s">
        <v>316</v>
      </c>
      <c r="C19" s="10">
        <v>114</v>
      </c>
      <c r="D19" s="10"/>
      <c r="E19" s="10">
        <v>128.8</v>
      </c>
      <c r="F19" s="10">
        <v>128.8</v>
      </c>
      <c r="G19" s="12"/>
      <c r="H19" t="s">
        <v>303</v>
      </c>
    </row>
    <row r="20" customHeight="1" spans="1:8">
      <c r="A20" s="6">
        <v>17</v>
      </c>
      <c r="B20" s="10" t="s">
        <v>317</v>
      </c>
      <c r="C20" s="10">
        <v>85</v>
      </c>
      <c r="D20" s="10"/>
      <c r="E20" s="10">
        <v>51</v>
      </c>
      <c r="F20" s="10">
        <v>51</v>
      </c>
      <c r="G20" s="12"/>
      <c r="H20" t="s">
        <v>301</v>
      </c>
    </row>
    <row r="21" customHeight="1" spans="1:8">
      <c r="A21" s="6">
        <v>18</v>
      </c>
      <c r="B21" s="10" t="s">
        <v>318</v>
      </c>
      <c r="C21" s="10">
        <v>264</v>
      </c>
      <c r="D21" s="10"/>
      <c r="E21" s="10">
        <v>158.4</v>
      </c>
      <c r="F21" s="10">
        <v>158.4</v>
      </c>
      <c r="G21" s="12"/>
      <c r="H21" t="s">
        <v>301</v>
      </c>
    </row>
    <row r="22" customHeight="1" spans="1:8">
      <c r="A22" s="6">
        <v>19</v>
      </c>
      <c r="B22" s="6" t="s">
        <v>319</v>
      </c>
      <c r="C22" s="6">
        <v>230</v>
      </c>
      <c r="D22" s="6"/>
      <c r="E22" s="6">
        <v>259.9</v>
      </c>
      <c r="F22" s="6">
        <v>259.9</v>
      </c>
      <c r="G22" s="6"/>
      <c r="H22" t="s">
        <v>303</v>
      </c>
    </row>
    <row r="23" customHeight="1" spans="1:8">
      <c r="A23" s="6">
        <v>20</v>
      </c>
      <c r="B23" s="6" t="s">
        <v>320</v>
      </c>
      <c r="C23" s="6">
        <v>246</v>
      </c>
      <c r="D23" s="6"/>
      <c r="E23" s="6">
        <v>147.6</v>
      </c>
      <c r="F23" s="6">
        <v>147.6</v>
      </c>
      <c r="G23" s="6"/>
      <c r="H23" t="s">
        <v>301</v>
      </c>
    </row>
    <row r="24" customHeight="1" spans="1:8">
      <c r="A24" s="6">
        <v>21</v>
      </c>
      <c r="B24" s="6" t="s">
        <v>321</v>
      </c>
      <c r="C24" s="6">
        <v>53</v>
      </c>
      <c r="D24" s="6"/>
      <c r="E24" s="6">
        <v>59.9</v>
      </c>
      <c r="F24" s="6">
        <v>59.9</v>
      </c>
      <c r="G24" s="6"/>
      <c r="H24" t="s">
        <v>303</v>
      </c>
    </row>
    <row r="25" customHeight="1" spans="1:8">
      <c r="A25" s="6">
        <v>22</v>
      </c>
      <c r="B25" s="6" t="s">
        <v>322</v>
      </c>
      <c r="C25" s="6">
        <v>40</v>
      </c>
      <c r="D25" s="6">
        <v>40</v>
      </c>
      <c r="E25" s="6">
        <v>90.4</v>
      </c>
      <c r="F25" s="6">
        <v>90.4</v>
      </c>
      <c r="G25" s="6"/>
      <c r="H25" t="s">
        <v>303</v>
      </c>
    </row>
    <row r="26" customHeight="1" spans="1:8">
      <c r="A26" s="6">
        <v>23</v>
      </c>
      <c r="B26" s="6" t="s">
        <v>323</v>
      </c>
      <c r="C26" s="6"/>
      <c r="D26" s="6">
        <v>99</v>
      </c>
      <c r="E26" s="6">
        <v>112.4</v>
      </c>
      <c r="F26" s="6">
        <v>112.4</v>
      </c>
      <c r="G26" s="6"/>
      <c r="H26" t="s">
        <v>303</v>
      </c>
    </row>
    <row r="27" customHeight="1" spans="1:8">
      <c r="A27" s="6">
        <v>24</v>
      </c>
      <c r="B27" s="6" t="s">
        <v>324</v>
      </c>
      <c r="C27" s="6">
        <v>90</v>
      </c>
      <c r="D27" s="6"/>
      <c r="E27" s="6">
        <v>102.1</v>
      </c>
      <c r="F27" s="6">
        <v>102.1</v>
      </c>
      <c r="G27" s="6"/>
      <c r="H27" t="s">
        <v>303</v>
      </c>
    </row>
    <row r="28" customHeight="1" spans="1:8">
      <c r="A28" s="6">
        <v>25</v>
      </c>
      <c r="B28" s="6" t="s">
        <v>325</v>
      </c>
      <c r="C28" s="6"/>
      <c r="D28" s="6">
        <v>248</v>
      </c>
      <c r="E28" s="6">
        <v>279.8</v>
      </c>
      <c r="F28" s="6">
        <v>279.8</v>
      </c>
      <c r="G28" s="6"/>
      <c r="H28" t="s">
        <v>303</v>
      </c>
    </row>
    <row r="29" customHeight="1" spans="1:8">
      <c r="A29" s="6">
        <v>26</v>
      </c>
      <c r="B29" s="6" t="s">
        <v>326</v>
      </c>
      <c r="C29" s="6">
        <v>256</v>
      </c>
      <c r="D29" s="6"/>
      <c r="E29" s="6">
        <v>288.8</v>
      </c>
      <c r="F29" s="6">
        <v>288.8</v>
      </c>
      <c r="G29" s="6"/>
      <c r="H29" t="s">
        <v>303</v>
      </c>
    </row>
    <row r="30" customHeight="1" spans="1:8">
      <c r="A30" s="6">
        <v>27</v>
      </c>
      <c r="B30" s="6" t="s">
        <v>328</v>
      </c>
      <c r="C30" s="6">
        <v>79</v>
      </c>
      <c r="D30" s="6">
        <v>79</v>
      </c>
      <c r="E30" s="6">
        <v>178.4</v>
      </c>
      <c r="F30" s="6">
        <v>178.4</v>
      </c>
      <c r="G30" s="6"/>
      <c r="H30" t="s">
        <v>303</v>
      </c>
    </row>
    <row r="31" customHeight="1" spans="1:8">
      <c r="A31" s="6">
        <v>28</v>
      </c>
      <c r="B31" s="6" t="s">
        <v>329</v>
      </c>
      <c r="C31" s="6">
        <v>166</v>
      </c>
      <c r="D31" s="6">
        <v>166</v>
      </c>
      <c r="E31" s="6">
        <v>199.2</v>
      </c>
      <c r="F31" s="6">
        <v>199.2</v>
      </c>
      <c r="G31" s="6"/>
      <c r="H31" t="s">
        <v>301</v>
      </c>
    </row>
    <row r="32" customHeight="1" spans="1:8">
      <c r="A32" s="6">
        <v>29</v>
      </c>
      <c r="B32" s="6" t="s">
        <v>330</v>
      </c>
      <c r="C32" s="6">
        <v>75</v>
      </c>
      <c r="D32" s="6">
        <v>75</v>
      </c>
      <c r="E32" s="6">
        <v>169.8</v>
      </c>
      <c r="F32" s="6">
        <v>169.8</v>
      </c>
      <c r="G32" s="6"/>
      <c r="H32" t="s">
        <v>303</v>
      </c>
    </row>
    <row r="33" customHeight="1" spans="1:8">
      <c r="A33" s="6">
        <v>30</v>
      </c>
      <c r="B33" s="6" t="s">
        <v>331</v>
      </c>
      <c r="C33" s="6">
        <v>77</v>
      </c>
      <c r="D33" s="6">
        <v>77</v>
      </c>
      <c r="E33" s="6">
        <v>174.9</v>
      </c>
      <c r="F33" s="6">
        <v>174.9</v>
      </c>
      <c r="G33" s="6"/>
      <c r="H33" t="s">
        <v>303</v>
      </c>
    </row>
    <row r="34" customHeight="1" spans="1:8">
      <c r="A34" s="6">
        <v>31</v>
      </c>
      <c r="B34" s="6" t="s">
        <v>332</v>
      </c>
      <c r="C34" s="6">
        <v>20</v>
      </c>
      <c r="D34" s="6">
        <v>20</v>
      </c>
      <c r="E34" s="6">
        <v>44.3</v>
      </c>
      <c r="F34" s="6">
        <v>44.3</v>
      </c>
      <c r="G34" s="6"/>
      <c r="H34" t="s">
        <v>303</v>
      </c>
    </row>
    <row r="35" customHeight="1" spans="1:8">
      <c r="A35" s="6">
        <v>32</v>
      </c>
      <c r="B35" s="6" t="s">
        <v>333</v>
      </c>
      <c r="C35" s="6">
        <v>203</v>
      </c>
      <c r="D35" s="6">
        <v>203</v>
      </c>
      <c r="E35" s="6">
        <v>243.6</v>
      </c>
      <c r="F35" s="6">
        <v>243.6</v>
      </c>
      <c r="G35" s="6"/>
      <c r="H35" t="s">
        <v>301</v>
      </c>
    </row>
    <row r="36" customHeight="1" spans="1:8">
      <c r="A36" s="6">
        <v>33</v>
      </c>
      <c r="B36" s="6" t="s">
        <v>334</v>
      </c>
      <c r="C36" s="6">
        <v>258</v>
      </c>
      <c r="D36" s="6">
        <v>258</v>
      </c>
      <c r="E36" s="6">
        <v>582.6</v>
      </c>
      <c r="F36" s="6">
        <v>582.6</v>
      </c>
      <c r="G36" s="6"/>
      <c r="H36" t="s">
        <v>303</v>
      </c>
    </row>
    <row r="37" customHeight="1" spans="1:8">
      <c r="A37" s="6">
        <v>34</v>
      </c>
      <c r="B37" s="6" t="s">
        <v>335</v>
      </c>
      <c r="C37" s="6">
        <v>255</v>
      </c>
      <c r="D37" s="6">
        <v>255</v>
      </c>
      <c r="E37" s="6">
        <v>575.4</v>
      </c>
      <c r="F37" s="6">
        <v>575.4</v>
      </c>
      <c r="G37" s="6"/>
      <c r="H37" t="s">
        <v>303</v>
      </c>
    </row>
    <row r="38" customHeight="1" spans="1:8">
      <c r="A38" s="6">
        <v>35</v>
      </c>
      <c r="B38" s="6" t="s">
        <v>336</v>
      </c>
      <c r="C38" s="6">
        <v>245</v>
      </c>
      <c r="D38" s="6">
        <v>245</v>
      </c>
      <c r="E38" s="6">
        <v>554.8</v>
      </c>
      <c r="F38" s="6">
        <v>554.8</v>
      </c>
      <c r="G38" s="6"/>
      <c r="H38" t="s">
        <v>303</v>
      </c>
    </row>
    <row r="39" customHeight="1" spans="1:7">
      <c r="A39" s="6" t="s">
        <v>160</v>
      </c>
      <c r="B39" s="6"/>
      <c r="C39" s="6"/>
      <c r="D39" s="6"/>
      <c r="E39" s="6">
        <f>SUM(E4:E38)</f>
        <v>5676.4</v>
      </c>
      <c r="F39" s="14">
        <f>SUM(F4:F38)</f>
        <v>5676.4</v>
      </c>
      <c r="G39" s="6"/>
    </row>
    <row r="40" s="1" customFormat="1" customHeight="1" spans="1:4">
      <c r="A40" s="13" t="s">
        <v>161</v>
      </c>
      <c r="B40" s="13"/>
      <c r="C40" s="23"/>
      <c r="D40" s="23"/>
    </row>
  </sheetData>
  <mergeCells count="8">
    <mergeCell ref="A1:G1"/>
    <mergeCell ref="C2:D2"/>
    <mergeCell ref="A39:B39"/>
    <mergeCell ref="A2:A3"/>
    <mergeCell ref="B2:B3"/>
    <mergeCell ref="E2:E3"/>
    <mergeCell ref="F2:F3"/>
    <mergeCell ref="G2:G3"/>
  </mergeCells>
  <pageMargins left="0.699305555555556" right="0.699305555555556" top="0.75" bottom="0.75" header="0.3" footer="0.3"/>
  <pageSetup paperSize="9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2" sqref="C2"/>
    </sheetView>
  </sheetViews>
  <sheetFormatPr defaultColWidth="8.75" defaultRowHeight="30" customHeight="1" outlineLevelCol="4"/>
  <cols>
    <col min="1" max="1" width="6.625" customWidth="1"/>
    <col min="2" max="2" width="22.125" customWidth="1"/>
    <col min="3" max="3" width="18" customWidth="1"/>
    <col min="4" max="4" width="20" customWidth="1"/>
    <col min="5" max="5" width="22.125" customWidth="1"/>
  </cols>
  <sheetData>
    <row r="1" ht="60" customHeight="1" spans="1:5">
      <c r="A1" s="2" t="s">
        <v>402</v>
      </c>
      <c r="B1" s="2"/>
      <c r="C1" s="2"/>
      <c r="D1" s="2"/>
      <c r="E1" s="2"/>
    </row>
    <row r="2" customHeight="1" spans="1:5">
      <c r="A2" s="3" t="s">
        <v>147</v>
      </c>
      <c r="B2" s="3" t="s">
        <v>148</v>
      </c>
      <c r="C2" s="4" t="s">
        <v>338</v>
      </c>
      <c r="D2" s="4" t="s">
        <v>339</v>
      </c>
      <c r="E2" s="5" t="s">
        <v>153</v>
      </c>
    </row>
    <row r="3" ht="32.25" customHeight="1" spans="1:5">
      <c r="A3" s="6">
        <v>1</v>
      </c>
      <c r="B3" s="7" t="s">
        <v>403</v>
      </c>
      <c r="C3" s="8">
        <v>508</v>
      </c>
      <c r="D3" s="8">
        <v>508</v>
      </c>
      <c r="E3" s="9" t="s">
        <v>343</v>
      </c>
    </row>
    <row r="4" ht="32.25" customHeight="1" spans="1:5">
      <c r="A4" s="6">
        <v>2</v>
      </c>
      <c r="B4" s="7" t="s">
        <v>404</v>
      </c>
      <c r="C4" s="8">
        <v>280</v>
      </c>
      <c r="D4" s="8">
        <v>280</v>
      </c>
      <c r="E4" s="9" t="s">
        <v>343</v>
      </c>
    </row>
    <row r="5" ht="32.25" customHeight="1" spans="1:5">
      <c r="A5" s="6">
        <v>3</v>
      </c>
      <c r="B5" s="7"/>
      <c r="C5" s="8"/>
      <c r="D5" s="8"/>
      <c r="E5" s="9"/>
    </row>
    <row r="6" ht="32.25" customHeight="1" spans="1:5">
      <c r="A6" s="6">
        <v>4</v>
      </c>
      <c r="B6" s="7"/>
      <c r="C6" s="8"/>
      <c r="D6" s="8"/>
      <c r="E6" s="9"/>
    </row>
    <row r="7" ht="32.25" customHeight="1" spans="1:5">
      <c r="A7" s="6">
        <v>5</v>
      </c>
      <c r="B7" s="7"/>
      <c r="C7" s="8"/>
      <c r="D7" s="8"/>
      <c r="E7" s="9"/>
    </row>
    <row r="8" ht="32.25" customHeight="1" spans="1:5">
      <c r="A8" s="6">
        <v>6</v>
      </c>
      <c r="B8" s="7"/>
      <c r="C8" s="8"/>
      <c r="D8" s="8"/>
      <c r="E8" s="9"/>
    </row>
    <row r="9" ht="32.25" customHeight="1" spans="1:5">
      <c r="A9" s="6">
        <v>7</v>
      </c>
      <c r="B9" s="7"/>
      <c r="C9" s="8"/>
      <c r="D9" s="8"/>
      <c r="E9" s="9"/>
    </row>
    <row r="10" ht="32.25" customHeight="1" spans="1:5">
      <c r="A10" s="6">
        <v>8</v>
      </c>
      <c r="B10" s="7"/>
      <c r="C10" s="8"/>
      <c r="D10" s="8"/>
      <c r="E10" s="9"/>
    </row>
    <row r="11" customHeight="1" spans="1:5">
      <c r="A11" s="6"/>
      <c r="B11" s="10"/>
      <c r="C11" s="10"/>
      <c r="D11" s="11"/>
      <c r="E11" s="12"/>
    </row>
    <row r="12" customHeight="1" spans="1:5">
      <c r="A12" s="6"/>
      <c r="B12" s="10"/>
      <c r="C12" s="10"/>
      <c r="D12" s="11"/>
      <c r="E12" s="12"/>
    </row>
    <row r="13" customHeight="1" spans="1:5">
      <c r="A13" s="6"/>
      <c r="B13" s="10"/>
      <c r="C13" s="10"/>
      <c r="D13" s="11"/>
      <c r="E13" s="12"/>
    </row>
    <row r="14" customHeight="1" spans="1:5">
      <c r="A14" s="6"/>
      <c r="B14" s="10"/>
      <c r="C14" s="10"/>
      <c r="D14" s="11"/>
      <c r="E14" s="12"/>
    </row>
    <row r="15" customHeight="1" spans="1:5">
      <c r="A15" s="6"/>
      <c r="B15" s="10"/>
      <c r="C15" s="10"/>
      <c r="D15" s="11"/>
      <c r="E15" s="12"/>
    </row>
    <row r="16" customHeight="1" spans="1:5">
      <c r="A16" s="6"/>
      <c r="B16" s="10"/>
      <c r="C16" s="10"/>
      <c r="D16" s="11"/>
      <c r="E16" s="12"/>
    </row>
    <row r="17" customHeight="1" spans="1:5">
      <c r="A17" s="6"/>
      <c r="B17" s="10"/>
      <c r="C17" s="10"/>
      <c r="D17" s="11"/>
      <c r="E17" s="12"/>
    </row>
    <row r="18" customHeight="1" spans="1:5">
      <c r="A18" s="6"/>
      <c r="B18" s="10"/>
      <c r="C18" s="10"/>
      <c r="D18" s="11"/>
      <c r="E18" s="12"/>
    </row>
    <row r="19" customHeight="1" spans="1:5">
      <c r="A19" s="6"/>
      <c r="B19" s="10"/>
      <c r="C19" s="10"/>
      <c r="D19" s="11"/>
      <c r="E19" s="12"/>
    </row>
    <row r="20" customHeight="1" spans="1:5">
      <c r="A20" s="6"/>
      <c r="B20" s="10"/>
      <c r="C20" s="10"/>
      <c r="D20" s="11"/>
      <c r="E20" s="12"/>
    </row>
    <row r="21" customHeight="1" spans="1:5">
      <c r="A21" s="6" t="s">
        <v>160</v>
      </c>
      <c r="B21" s="6"/>
      <c r="C21" s="6">
        <f>SUM(C3:C20)</f>
        <v>788</v>
      </c>
      <c r="D21" s="14">
        <f>SUM(D3:D20)</f>
        <v>788</v>
      </c>
      <c r="E21" s="6"/>
    </row>
    <row r="22" s="1" customFormat="1" customHeight="1" spans="1:2">
      <c r="A22" s="13" t="s">
        <v>161</v>
      </c>
      <c r="B22" s="13"/>
    </row>
  </sheetData>
  <mergeCells count="2">
    <mergeCell ref="A1:E1"/>
    <mergeCell ref="A21:B21"/>
  </mergeCells>
  <pageMargins left="0.699305555555556" right="0.699305555555556" top="0.75" bottom="0.75" header="0.3" footer="0.3"/>
  <pageSetup paperSize="9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D2" sqref="D2"/>
    </sheetView>
  </sheetViews>
  <sheetFormatPr defaultColWidth="8.75" defaultRowHeight="30" customHeight="1" outlineLevelCol="4"/>
  <cols>
    <col min="1" max="1" width="6.625" customWidth="1"/>
    <col min="2" max="2" width="22.125" customWidth="1"/>
    <col min="3" max="3" width="18" customWidth="1"/>
    <col min="4" max="4" width="20" customWidth="1"/>
    <col min="5" max="5" width="22.125" customWidth="1"/>
  </cols>
  <sheetData>
    <row r="1" ht="60" customHeight="1" spans="1:5">
      <c r="A1" s="2" t="s">
        <v>405</v>
      </c>
      <c r="B1" s="2"/>
      <c r="C1" s="2"/>
      <c r="D1" s="2"/>
      <c r="E1" s="2"/>
    </row>
    <row r="2" customHeight="1" spans="1:5">
      <c r="A2" s="3" t="s">
        <v>147</v>
      </c>
      <c r="B2" s="3" t="s">
        <v>148</v>
      </c>
      <c r="C2" s="4" t="s">
        <v>338</v>
      </c>
      <c r="D2" s="4" t="s">
        <v>339</v>
      </c>
      <c r="E2" s="5" t="s">
        <v>153</v>
      </c>
    </row>
    <row r="3" ht="32.25" customHeight="1" spans="1:5">
      <c r="A3" s="6">
        <v>1</v>
      </c>
      <c r="B3" s="7" t="s">
        <v>344</v>
      </c>
      <c r="C3" s="8">
        <v>13.3</v>
      </c>
      <c r="D3" s="8">
        <v>13.3</v>
      </c>
      <c r="E3" s="9" t="s">
        <v>343</v>
      </c>
    </row>
    <row r="4" ht="32.25" customHeight="1" spans="1:5">
      <c r="A4" s="6">
        <v>2</v>
      </c>
      <c r="B4" s="7" t="s">
        <v>345</v>
      </c>
      <c r="C4" s="8">
        <v>11.4</v>
      </c>
      <c r="D4" s="8">
        <v>11.4</v>
      </c>
      <c r="E4" s="9" t="s">
        <v>343</v>
      </c>
    </row>
    <row r="5" ht="32.25" customHeight="1" spans="1:5">
      <c r="A5" s="6">
        <v>3</v>
      </c>
      <c r="B5" s="7"/>
      <c r="C5" s="8"/>
      <c r="D5" s="8"/>
      <c r="E5" s="9"/>
    </row>
    <row r="6" ht="32.25" customHeight="1" spans="1:5">
      <c r="A6" s="6">
        <v>4</v>
      </c>
      <c r="B6" s="7"/>
      <c r="C6" s="8"/>
      <c r="D6" s="8"/>
      <c r="E6" s="9"/>
    </row>
    <row r="7" ht="32.25" customHeight="1" spans="1:5">
      <c r="A7" s="6">
        <v>5</v>
      </c>
      <c r="B7" s="7"/>
      <c r="C7" s="8"/>
      <c r="D7" s="8"/>
      <c r="E7" s="9"/>
    </row>
    <row r="8" ht="32.25" customHeight="1" spans="1:5">
      <c r="A8" s="6">
        <v>6</v>
      </c>
      <c r="B8" s="7"/>
      <c r="C8" s="8"/>
      <c r="D8" s="8"/>
      <c r="E8" s="9"/>
    </row>
    <row r="9" ht="32.25" customHeight="1" spans="1:5">
      <c r="A9" s="6">
        <v>7</v>
      </c>
      <c r="B9" s="7"/>
      <c r="C9" s="8"/>
      <c r="D9" s="8"/>
      <c r="E9" s="9"/>
    </row>
    <row r="10" ht="32.25" customHeight="1" spans="1:5">
      <c r="A10" s="6">
        <v>8</v>
      </c>
      <c r="B10" s="7"/>
      <c r="C10" s="8"/>
      <c r="D10" s="8"/>
      <c r="E10" s="9"/>
    </row>
    <row r="11" customHeight="1" spans="1:5">
      <c r="A11" s="6"/>
      <c r="B11" s="10"/>
      <c r="C11" s="10"/>
      <c r="D11" s="11"/>
      <c r="E11" s="12"/>
    </row>
    <row r="12" customHeight="1" spans="1:5">
      <c r="A12" s="6"/>
      <c r="B12" s="10"/>
      <c r="C12" s="10"/>
      <c r="D12" s="11"/>
      <c r="E12" s="12"/>
    </row>
    <row r="13" customHeight="1" spans="1:5">
      <c r="A13" s="6"/>
      <c r="B13" s="10"/>
      <c r="C13" s="10"/>
      <c r="D13" s="11"/>
      <c r="E13" s="12"/>
    </row>
    <row r="14" customHeight="1" spans="1:5">
      <c r="A14" s="6"/>
      <c r="B14" s="10"/>
      <c r="C14" s="10"/>
      <c r="D14" s="11"/>
      <c r="E14" s="12"/>
    </row>
    <row r="15" customHeight="1" spans="1:5">
      <c r="A15" s="6"/>
      <c r="B15" s="10"/>
      <c r="C15" s="10"/>
      <c r="D15" s="11"/>
      <c r="E15" s="12"/>
    </row>
    <row r="16" customHeight="1" spans="1:5">
      <c r="A16" s="6"/>
      <c r="B16" s="10"/>
      <c r="C16" s="10"/>
      <c r="D16" s="11"/>
      <c r="E16" s="12"/>
    </row>
    <row r="17" customHeight="1" spans="1:5">
      <c r="A17" s="6"/>
      <c r="B17" s="10"/>
      <c r="C17" s="10"/>
      <c r="D17" s="11"/>
      <c r="E17" s="12"/>
    </row>
    <row r="18" customHeight="1" spans="1:5">
      <c r="A18" s="6"/>
      <c r="B18" s="10"/>
      <c r="C18" s="10"/>
      <c r="D18" s="11"/>
      <c r="E18" s="12"/>
    </row>
    <row r="19" customHeight="1" spans="1:5">
      <c r="A19" s="6"/>
      <c r="B19" s="10"/>
      <c r="C19" s="10"/>
      <c r="D19" s="11"/>
      <c r="E19" s="12"/>
    </row>
    <row r="20" customHeight="1" spans="1:5">
      <c r="A20" s="6"/>
      <c r="B20" s="10"/>
      <c r="C20" s="10"/>
      <c r="D20" s="11"/>
      <c r="E20" s="12"/>
    </row>
    <row r="21" customHeight="1" spans="1:5">
      <c r="A21" s="6" t="s">
        <v>160</v>
      </c>
      <c r="B21" s="6"/>
      <c r="C21" s="6">
        <f>SUM(C3:C20)</f>
        <v>24.7</v>
      </c>
      <c r="D21" s="11">
        <f>SUM(D3:D20)</f>
        <v>24.7</v>
      </c>
      <c r="E21" s="6"/>
    </row>
    <row r="22" s="1" customFormat="1" customHeight="1" spans="1:2">
      <c r="A22" s="13" t="s">
        <v>161</v>
      </c>
      <c r="B22" s="13"/>
    </row>
  </sheetData>
  <mergeCells count="2">
    <mergeCell ref="A1:E1"/>
    <mergeCell ref="A21:B21"/>
  </mergeCells>
  <pageMargins left="0.699305555555556" right="0.699305555555556" top="0.75" bottom="0.75" header="0.3" footer="0.3"/>
  <pageSetup paperSize="9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8" sqref="K18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300章</vt:lpstr>
      <vt:lpstr>302-1-3厚150mm 级配碎石垫层</vt:lpstr>
      <vt:lpstr>302-8-7厚400mm素混凝土垫层</vt:lpstr>
      <vt:lpstr>303-1-5 厚200mm水泥稳定碎石底基层</vt:lpstr>
      <vt:lpstr>303-1-8 厚340mm水泥稳定碎石底基层</vt:lpstr>
      <vt:lpstr>304-1-5 厚200mm 水泥稳定碎石基层 </vt:lpstr>
      <vt:lpstr>305-2 黏层</vt:lpstr>
      <vt:lpstr>305-3-6 下封层</vt:lpstr>
      <vt:lpstr>305-5-5 防水黏结层 </vt:lpstr>
      <vt:lpstr>305-6-2 抛丸 </vt:lpstr>
      <vt:lpstr>306-1-3-4 厚80mm粗粒式沥青混凝土 </vt:lpstr>
      <vt:lpstr>306-2-2-3 厚60mm中粒式沥青混凝土</vt:lpstr>
      <vt:lpstr>306-2-2-5 厚140mm中粒式沥青混凝土 </vt:lpstr>
      <vt:lpstr>306-3-1-2 厚40mm细粒式沥青玛蹄脂碎石混合料面层</vt:lpstr>
      <vt:lpstr>307-1-1 C30混凝土水泥混凝土面层</vt:lpstr>
      <vt:lpstr>307-1-2 C35混凝土水泥混凝土面层 </vt:lpstr>
      <vt:lpstr>307-1-3 C25混凝土水泥混凝土面层</vt:lpstr>
      <vt:lpstr>307-2-2 带肋钢筋 </vt:lpstr>
      <vt:lpstr>309-1 路肩培土</vt:lpstr>
      <vt:lpstr>309-4-2-3 C30混凝土预制砼平石</vt:lpstr>
      <vt:lpstr>310-1-1-2 D300mm混凝土排水管 </vt:lpstr>
      <vt:lpstr>310-1-2-4 D110mmPVC排水管 </vt:lpstr>
      <vt:lpstr>310-2-2-1 D300Ⅱ级钢筋砼雨水管</vt:lpstr>
      <vt:lpstr>310-2-2-2 D600Ⅱ级钢筋砼雨水管</vt:lpstr>
      <vt:lpstr>310-2-2-3 D800Ⅱ级钢筋砼雨水管</vt:lpstr>
      <vt:lpstr>310-2-3-2 球墨铸铁给水管（DN200)</vt:lpstr>
      <vt:lpstr>310-3 中央分隔带渗沟 </vt:lpstr>
      <vt:lpstr>310-4 集水井 </vt:lpstr>
      <vt:lpstr>310-5-1 矩形钢筋砼（内空1.1×1.1m）检查井</vt:lpstr>
      <vt:lpstr>310-5-2 矩形钢筋砼（内空1.25×1.25）检查井</vt:lpstr>
      <vt:lpstr>310-10-1 砖砌单篦雨水口</vt:lpstr>
      <vt:lpstr>310-13-1 砂砾（碎石）透水层 路肩排水 </vt:lpstr>
      <vt:lpstr>310-13-2 透水土工布 路肩排水 </vt:lpstr>
      <vt:lpstr>310-13-5 防渗土工布 路肩排水</vt:lpstr>
      <vt:lpstr>310-15 流水槽</vt:lpstr>
      <vt:lpstr>310-16 急流槽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亮哥</cp:lastModifiedBy>
  <dcterms:created xsi:type="dcterms:W3CDTF">2017-04-02T00:36:00Z</dcterms:created>
  <cp:lastPrinted>2017-09-27T08:14:00Z</cp:lastPrinted>
  <dcterms:modified xsi:type="dcterms:W3CDTF">2023-08-08T03:28:02Z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B97FEE8116164C2C8B01425A8588ED10_12</vt:lpwstr>
  </property>
</Properties>
</file>